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eerawut.c/Documents/fc-creator/k6-loadtest-creator/doc/"/>
    </mc:Choice>
  </mc:AlternateContent>
  <xr:revisionPtr revIDLastSave="0" documentId="13_ncr:1_{82F706F0-FCBF-FE45-B6EF-47484F81B5E0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Test Summary" sheetId="1" r:id="rId1"/>
    <sheet name="SignupLanding" sheetId="2" r:id="rId2"/>
    <sheet name="AI Capac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L16" i="3"/>
  <c r="L15" i="3"/>
  <c r="L14" i="3"/>
  <c r="L13" i="3"/>
  <c r="L12" i="3"/>
  <c r="L11" i="3"/>
  <c r="L10" i="3"/>
  <c r="L9" i="3"/>
  <c r="L8" i="3"/>
  <c r="L7" i="3"/>
  <c r="L6" i="3"/>
  <c r="L5" i="3"/>
  <c r="L4" i="3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K3" authorId="0" shapeId="0" xr:uid="{00000000-0006-0000-0000-000001000000}">
      <text>
        <r>
          <rPr>
            <sz val="11"/>
            <color theme="1"/>
            <rFont val="Calibri"/>
            <scheme val="minor"/>
          </rPr>
          <t>http_req_failed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T8" authorId="0" shapeId="0" xr:uid="{00000000-0006-0000-0100-000001000000}">
      <text>
        <r>
          <rPr>
            <sz val="11"/>
            <color theme="1"/>
            <rFont val="Calibri"/>
            <scheme val="minor"/>
          </rPr>
          <t>502 Bad Gateway</t>
        </r>
      </text>
    </comment>
    <comment ref="T11" authorId="0" shapeId="0" xr:uid="{00000000-0006-0000-0100-000002000000}">
      <text>
        <r>
          <rPr>
            <sz val="11"/>
            <color theme="1"/>
            <rFont val="Calibri"/>
            <scheme val="minor"/>
          </rPr>
          <t>503 Service Unavailable</t>
        </r>
      </text>
    </comment>
  </commentList>
</comments>
</file>

<file path=xl/sharedStrings.xml><?xml version="1.0" encoding="utf-8"?>
<sst xmlns="http://schemas.openxmlformats.org/spreadsheetml/2006/main" count="271" uniqueCount="100">
  <si>
    <t>LoadTest Report - Test Summary</t>
  </si>
  <si>
    <t>Test Case ID</t>
  </si>
  <si>
    <t>Test Type</t>
  </si>
  <si>
    <t>API Flow</t>
  </si>
  <si>
    <t>Environment</t>
  </si>
  <si>
    <t>Test Date</t>
  </si>
  <si>
    <t>Target VUs</t>
  </si>
  <si>
    <t>Max VUs</t>
  </si>
  <si>
    <t>Avg (ms)</t>
  </si>
  <si>
    <t>P90 (ms)</t>
  </si>
  <si>
    <t>P95 (ms)</t>
  </si>
  <si>
    <t>Error Rate (%)</t>
  </si>
  <si>
    <t>Result</t>
  </si>
  <si>
    <t>HTML Report</t>
  </si>
  <si>
    <t>Note</t>
  </si>
  <si>
    <t>TC001</t>
  </si>
  <si>
    <t>Smoke</t>
  </si>
  <si>
    <t>signup-supporter</t>
  </si>
  <si>
    <t>sit</t>
  </si>
  <si>
    <t>DONE</t>
  </si>
  <si>
    <t>signup-supporter_TC001_sit_20260924_182325.html</t>
  </si>
  <si>
    <t>ภาพรวม: ผ่าน (PASS)
VUs        Success Rate        P95           Result
10           100%                    0.34s         PASS
สรุป:
Signup-Supporter ผ่าน Smoke Test ที่ 10 VUs ด้วยความสำเร็จ 100% และไม่มี HTTP errors เวลาตอบสนอง Avg 234.46 ms และ P95 342.94 ms แสดงว่า flow ทำงานได้ถูกต้องก่อนเพิ่มโหลด</t>
  </si>
  <si>
    <t>TC002</t>
  </si>
  <si>
    <t>Capacity</t>
  </si>
  <si>
    <t>signup-supporter_TC002_sit_20260923_123049.html</t>
  </si>
  <si>
    <t>ภาพรวม: ผ่าน (PASS) ที่ 1,000 VUs
VUs        Success Rate        P95           Result
300          100%                  12.37s        PASS
500          100%                  19.79s        PASS
700          100%                  27.63s        PASS
1,000       100%                  19.59s        PASS
สรุป:
Signup-Supporter สามารถรองรับผู้ใช้งานสมัครพร้อมกันได้ 1,000 VUs ด้วยความสำเร็จ 100% และไม่มี HTTP errors (Avg 11.24s, P95 19.59s)
ในรอบทดสอบก่อนหน้า (21-22/09/26) ที่ 1,000 VUs ความสำเร็จอยู่ที่ 24.80% - 96.70% เนื่องจาก request timeout (P95 ~29.8s) หลังปรับปรุงระบบ (23/09/26) ผ่าน 100% อย่างสม่ำเสมอ
คำแนะนำ:
ความจุสูงสุดที่เสถียร: 1,000 VUs
Response time ที่ 1,000 VUs ยังค่อนข้างสูง (P95 ~20s) ควรติดตามหากต้องการลดเวลาตอบสนอง
เป้าหมาย 1,000 VUs: บรรลุเป้าหมาย</t>
  </si>
  <si>
    <t>TC003</t>
  </si>
  <si>
    <t>Sustained</t>
  </si>
  <si>
    <t>signup-supporter_TC003_sit_20260923_104911.html</t>
  </si>
  <si>
    <t>ภาพรวม: ผ่าน (PASS)
สรุป:
Signup-Supporter สามารถรองรับ 10 flows/sec เป็นเวลา 10 นาทีได้สำเร็จ (6,000 iterations) ด้วยความสำเร็จ 100% และไม่มี HTTP errors เวลาตอบสนอง P95 คือ 270.40 ms (Avg 176.72 ms) ใช้ VUs สูงสุด 93 แสดงถึงประสิทธิภาพที่ดีภายใต้โหลดที่ต่อเนื่อง
คำแนะนำ: 10 flows/sec</t>
  </si>
  <si>
    <t>creator-individual</t>
  </si>
  <si>
    <t>creator-individual_TC001_sit_20260902_105427.html</t>
  </si>
  <si>
    <t>creator-individual_TC002_sit_20260906_181327.html</t>
  </si>
  <si>
    <t>ภาพรวม: ผ่าน (PASS) จนถึง 250 VUs; พบขีดจำกัดความจุที่ 300 VUs
VUs     Success Rate         P95           Result
150      100%                    12.77s         PASS
200      100%                    16.31s         PASS
250      100%                     20.97s        PASS
300      75.49%                  23.33s        FAIL
สรุป:
Creator-Individual สำเร็จ 100% ที่ 250 VUs โดยไม่มี HTTP failures 
ที่ 300 VUs ความสำเร็จลดลงเหลือ 75.49% สาเหตุหลักมาจาก 502 Bad Gateway errors
คำแนะนำ:
ความจุสูงสุดที่เสถียร: 250 VUs
ความจุที่แนะนำให้ใช้งาน: 200 VUs
เป้าหมาย 1,000 VUs: ไม่บรรลุเป้าหมาย</t>
  </si>
  <si>
    <t>creator-individual_TC003_sit_20260906_182643.html</t>
  </si>
  <si>
    <t>ภาพรวม: ผ่าน (PASS)
สรุป:
Creator-Individual สามารถรองรับ 10 flows/sec เป็นเวลา 10 นาทีได้สำเร็จ ด้วยความสำเร็จ 100% และไม่มี HTTP errors เวลาตอบสนอง P95 คือ 3.80 วินาที แสดงถึงประสิทธิภาพที่ดีภายใต้โหลดที่ต่อเนื่อง
คำแนะนำ: 10 flows/sec</t>
  </si>
  <si>
    <t>creator-juristic</t>
  </si>
  <si>
    <t>creator-juristic_TC001_sit_20260904_114736.html</t>
  </si>
  <si>
    <t>creator-juristic_TC002_sit_20260906_184941.html</t>
  </si>
  <si>
    <t>ภาพรวม: ผ่าน (PASS) จนถึง 250 VUs; ประสิทธิภาพเริ่มลดลงที่ 300 VUs
VUs        Success Rate        P95           Result
100           100%                  11.31s        PASS
250           100%                  21.23s        PASS
300           96.00%               24.68s        FAIL
สรุป:
Creator-Juristic สามารถรองรับผู้ใช้งานพร้อมกันได้สูงสุด 250 VUs ด้วยความสำเร็จ 100% 
ที่ 300 VUs ความสำเร็จลดลงเหลือ 96.00% โดยมี 503 Service Unavailable errors ซึ่งแสดงว่าประสิทธิภาพลดลงเมื่อเกิน 250 VUs
ผลลัพธ์สอดคล้องกับ Creator-Individual เนื่องจากทั้งสอง flows ใช้ขั้นตอนการลงทะเบียนเดียวกันแต่ต่างกันที่ payload
คำแนะนำ: 
ความจุสูงสุดที่เสถียร: 250 VUs
ความจุที่แนะนำให้ใช้งาน: 200 VUs
เป้าหมาย 1,000 VUs: ไม่บรรลุเป้าหมาย</t>
  </si>
  <si>
    <t>creator-juristic_TC003_sit_20260906_190211.html</t>
  </si>
  <si>
    <t>ภาพรวม: ผ่าน (PASS) 
สรุป:
Creator-Juristic สามารถรองรับ 10 flows/sec เป็นเวลา 10 นาทีได้สำเร็จ ด้วยความสำเร็จ 100% และไม่มี HTTP errors เวลาตอบสนอง P95 คือ 3.44 วินาที แสดงถึงประสิทธิภาพที่ดีภายใต้โหลดที่ต่อเนื่อง
คำแนะนำ: 10 flows/sec
ผลลัพธ์สอดคล้องกับ Creator-Individual โดยทั้งสองสำเร็จ 100% และมีประสิทธิภาพใกล้เคียงกันภายใต้โหลดที่ต่อเนื่อง</t>
  </si>
  <si>
    <t>Content</t>
  </si>
  <si>
    <t>ai-generate-content_TC001_sit_20260924_183400.html</t>
  </si>
  <si>
    <t>ภาพรวม: ผ่าน (PASS)
VUs        Success Rate        P95           Result
2              100%                  1.84s          PASS
สรุป:
AI Generate Content ผ่าน Smoke Test ที่ 2 VUs ส่งคำขอ generate สำเร็จ (201) 2/2 รายการ Avg 1.84s และ P95 1.84s แสดงว่า flow ทำงานได้ถูกต้องก่อนเพิ่มโหลด
หมายเหตุ: วัดเฉพาะเวลาส่งคำขอและการรับเข้าคิว (201 Accepted) ไม่รวมเวลาที่ AI generate เสร็จ</t>
  </si>
  <si>
    <t>ai-generate-content_TC002_sit_20260924_172427.html</t>
  </si>
  <si>
    <t>ภาพรวม: ผ่าน (PASS) ที่ 100 VUs
VUs        Success Rate        P95           Result
100          100%                  6.19s        PASS
สรุป:
AI Generate Content สามารถรองรับคำขอ generate พร้อมกันได้ 100 VUs โดยได้ 201 Success 100/100 (100%) และไม่มี error เวลาตอบสนอง Avg 4.15s และ P95 6.19s
รอบอื่นที่ 100 VUs (24/09/26) ได้ 201 Success Rate 70% - 100% จึงเลือกรอบที่ดีที่สุดมาสรุป
ผลดีขึ้นจากรอบก่อนหน้า (04/09/26) ที่รองรับได้เพียง 70 VUs
คำแนะนำ:
ความจุสูงสุดที่เสถียร: 100 VUs
เป้าหมาย 100 VUs: บรรลุเป้าหมาย
หมายเหตุ: วัดเฉพาะเวลาส่งคำขอและการรับเข้าคิว (201 Accepted) ไม่รวมเวลาที่ AI generate เสร็จ</t>
  </si>
  <si>
    <t>2D</t>
  </si>
  <si>
    <t>ai-generate-2d_TC001_sit_20260924_171541.html</t>
  </si>
  <si>
    <t>ภาพรวม: ผ่าน (PASS)
VUs        Success Rate        P95           Result
2              100%                  2.69s          PASS
สรุป:
AI Generate 2D ผ่าน Smoke Test ที่ 2 VUs ส่งคำขอ generate สำเร็จ (201) 2/2 รายการ Avg 2.57s และ P95 2.69s แสดงว่า flow ทำงานได้ถูกต้องก่อนเพิ่มโหลด
หมายเหตุ: วัดเฉพาะเวลาส่งคำขอและการรับเข้าคิว (201 Accepted) ไม่รวมเวลาที่ AI generate เสร็จ</t>
  </si>
  <si>
    <t>ai-generate-2d_TC002_sit_20260924_182106.html</t>
  </si>
  <si>
    <t>ภาพรวม: ผ่าน (PASS) ที่ 100 VUs
VUs        Success Rate        P95           Result
100          100%                  14.62s        PASS
สรุป:
AI Generate 2D สามารถรองรับคำขอ generate พร้อมกันได้ 100 VUs โดยได้ 201 Success 100/100 (100%) และไม่มี error เวลาตอบสนอง Avg 10.58s และ P95 14.62s
ผลดีขึ้นจากรอบก่อนหน้า (04/09/26) ที่รองรับได้เพียง 60 VUs
คำแนะนำ:
ความจุสูงสุดที่เสถียร: 100 VUs
เป้าหมาย 100 VUs: บรรลุเป้าหมาย
หมายเหตุ: วัดเฉพาะเวลาส่งคำขอและการรับเข้าคิว (201 Accepted) ไม่รวมเวลาที่ AI generate เสร็จ</t>
  </si>
  <si>
    <t>3D</t>
  </si>
  <si>
    <t>ai-generate-3d_TC001_sit_20260924_182456.html</t>
  </si>
  <si>
    <t>ภาพรวม: ผ่าน (PASS)
VUs        Success Rate        P95           Result
2              100%                  7.75s          PASS
สรุป:
AI Generate 3D ผ่าน Smoke Test ที่ 2 VUs ส่งคำขอ generate สำเร็จ (201) 2/2 รายการ Avg 7.26s และ P95 7.75s แสดงว่า flow ทำงานได้ถูกต้องก่อนเพิ่มโหลด
หมายเหตุ: วัดเฉพาะเวลาส่งคำขอและการรับเข้าคิว (201 Accepted) ไม่รวมเวลาที่ AI generate เสร็จ</t>
  </si>
  <si>
    <t>ai-generate-3d_TC002_sit_20260924_182235.html</t>
  </si>
  <si>
    <t>ภาพรวม: ผ่าน (PASS) ที่ 100 VUs
VUs        Success Rate        P95           Result
100          100%                  19.73s        PASS
สรุป:
AI Generate 3D สามารถรองรับคำขอ generate พร้อมกันได้ 100 VUs โดยได้ 201 Success 100/100 (100%) และไม่มี error เวลาตอบสนอง Avg 13.85s และ P95 19.73s
ผลดีขึ้นจากรอบก่อนหน้า (04/09/26) ที่รองรับได้เพียง 40 VUs
คำแนะนำ:
ความจุสูงสุดที่เสถียร: 100 VUs
เป้าหมาย 100 VUs: บรรลุเป้าหมาย
หมายเหตุ: วัดเฉพาะเวลาส่งคำขอและการรับเข้าคิว (201 Accepted) ไม่รวมเวลาที่ AI generate เสร็จ</t>
  </si>
  <si>
    <t>landing</t>
  </si>
  <si>
    <t>web</t>
  </si>
  <si>
    <t>landing_TC001_web_20260924_161940.html</t>
  </si>
  <si>
    <t>landing_TC002_web_20260924_162203.html</t>
  </si>
  <si>
    <t>ภาพรวม: ทดสอบให้มีผู้ใช้งาน 1,000 คนเข้าหน้า Landing พร้อมกัน
VUs        Success Rate        P95           Result
1,000     100%                     8.71s         PASS
สรุป:
ระบบสามารถรองรับการเข้า Landing พร้อมกันที่ 1,000 VUs ได้ โดยไม่มี HTTP error และทุก request ผ่านทั้งหมด แต่ช่วงที่โหลดพร้อมกันจำนวนมาก Response Time ช่วงท้ายค่อนข้างสูง โดย P95 อยู่ที่ 8.71 วินาที</t>
  </si>
  <si>
    <t>landing_TC003_web_20260924_162558.html</t>
  </si>
  <si>
    <t>ภาพรวม: ทดสอบให้มีการเข้า Landing อย่างต่อเนื่องที่ 20 flows/sec เป็นเวลา 10 นาที
VUs        Success Rate        P95           Result
1,000     99.63%                 105.07s      PASS
สรุป:
ระบบสามารถรองรับการเข้า Landing อย่างต่อเนื่องที่ประมาณ 20 flows/sec เป็นเวลา 10 นาที ได้ โดยมี Success Rate 99.63% และ HTTP Error 0.12% 
สาเหตุหลักมาจาก PostgreSQL Database Connection เต็ม ทำให้ไม่สามารถสร้าง connection เพิ่มได้ อย่างไรก็ตาม Test ยังสามารถรักษา throughput ได้ตามเป้าหมาย และมี P95 Response Time เพียง 105.07 ms</t>
  </si>
  <si>
    <t>Signup/Landing Performance Metrics - k6 RESULTS</t>
  </si>
  <si>
    <t>Scenario</t>
  </si>
  <si>
    <t>Total Requests</t>
  </si>
  <si>
    <t>Min (ms)</t>
  </si>
  <si>
    <t>Median (ms)</t>
  </si>
  <si>
    <t>Max (ms)</t>
  </si>
  <si>
    <t>Checks Passed</t>
  </si>
  <si>
    <t>Checks Failed</t>
  </si>
  <si>
    <t>Check Pass Rate (%)</t>
  </si>
  <si>
    <t>Test Case</t>
  </si>
  <si>
    <t>Console log - Success</t>
  </si>
  <si>
    <t>Console log - Failed</t>
  </si>
  <si>
    <t xml:space="preserve"> // TC001 - Smoke
  TC001: {
    executor: 'per-vu-iterations',
    vus: 10,
    iterations: 1,
    maxDuration: '1m',
  },</t>
  </si>
  <si>
    <t>// TC002 - Concurrent Capacity
  TC002: {
    executor: 'per-vu-iterations',
    vus: 1000,
    iterations: 1,
    maxDuration: '5m',
  },</t>
  </si>
  <si>
    <t>// TC003 - Sustained Load
  TC003: {
    executor: 'constant-arrival-rate',
    rate: 10,
    timeUnit: '1s',
    duration: '10m',
    preAllocatedVUs: 93,
    maxVUs: 150,
  },</t>
  </si>
  <si>
    <t>// TC001 - Smoke
  TC001: {
    executor: 'per-vu-iterations',
    vus: 10,
    iterations: 1,
    maxDuration: '1m',
  },</t>
  </si>
  <si>
    <t>✓ creator user signup returns 2xx
✓ register creator returns 2xx
     checks.........................: 100.00% ✓ 20        ✗ 0   
     data_received..................: 67 kB   36 kB/s
     data_sent......................: 29 kB   15 kB/s
     http_req_blocked...............: avg=36.58ms  min=0s      med=33.12ms  max=78.86ms p(90)=76.8ms  p(95)=78.24ms 
     http_req_connecting............: avg=7.54ms   min=0s      med=7.42ms   max=15.2ms  p(90)=15.17ms p(95)=15.19ms 
     http_req_duration..............: avg=811.77ms min=29.05ms med=865.54ms max=1.72s   p(90)=1.71s   p(95)=1.72s   
       { expected_response:true }...: avg=811.77ms min=29.05ms med=865.54ms max=1.72s   p(90)=1.71s   p(95)=1.72s   
     http_req_failed................: 0.00%   ✓ 0         ✗ 20  
     http_req_receiving.............: avg=52.7µs   min=20µs    med=40.5µs   max=142µs   p(90)=87.8µs  p(95)=122.99µs
     http_req_sending...............: avg=193.65µs min=59µs    med=118µs    max=793µs   p(90)=427.1µs p(95)=540.29µs
     http_req_tls_handshaking.......: avg=14.83ms  min=0s      med=11.33ms  max=35.96ms p(90)=33.25ms p(95)=34.65ms 
     http_req_waiting...............: avg=811.52ms min=28.75ms med=865.29ms max=1.72s   p(90)=1.71s   p(95)=1.72s   
     http_reqs......................: 20      10.536486/s
     iteration_duration.............: avg=1.69s    min=1.07s   med=1.84s    max=1.89s   p(90)=1.89s   p(95)=1.89s   
     iterations.....................: 10      5.268243/s
     vus............................: 10      min=10      max=10
running (0m01.9s), 00/10 VUs, 10 complete and 0 interrupted iterations
api_test ✓ [======================================] 10 VUs  0m01.9s/1m0s  10/10 iters, 1 per VU</t>
  </si>
  <si>
    <t>// TC002 - Concurrent Capacity
  TC002: {
    executor: 'per-vu-iterations',
    vus: 250,
    iterations: 1,
    maxDuration: '5m',
  },</t>
  </si>
  <si>
    <t>✓ creator user signup returns 2xx
✓ register creator returns 2xx
     checks.........................: 100.00% ✓ 500       ✗ 0    
     data_received..................: 1.7 MB  76 kB/s
     data_sent......................: 718 kB  33 kB/s
     http_req_blocked...............: avg=248.42ms min=0s      med=48.31ms max=919.71ms p(90)=740.81ms p(95)=875.81ms
     http_req_connecting............: avg=37.85ms  min=0s      med=16.11ms max=118.39ms p(90)=102.2ms  p(95)=104.7ms 
     http_req_duration..............: avg=9.61s    min=21.81ms med=9.12s   max=21.23s   p(90)=19.94s   p(95)=20.97s  
       { expected_response:true }...: avg=9.61s    min=21.81ms med=9.12s   max=21.23s   p(90)=19.94s   p(95)=20.97s  
     http_req_failed................: 0.00%   ✓ 0         ✗ 500  
     http_req_receiving.............: avg=104.8µs  min=10µs    med=61.5µs  max=1.89ms   p(90)=172.1µs  p(95)=238.09µs
     http_req_sending...............: avg=174.1µs  min=22µs    med=70.5µs  max=1.08ms   p(90)=422µs    p(95)=466.44µs
     http_req_tls_handshaking.......: avg=205.28ms min=0s      med=26.65ms max=790.77ms p(90)=628.5ms  p(95)=759.9ms 
     http_req_waiting...............: avg=9.61s    min=21.44ms med=9.12s   max=21.23s   p(90)=19.94s   p(95)=20.97s  
     http_reqs......................: 500     22.621296/s
     iteration_duration.............: avg=19.73s   min=10.38s  med=21.81s  max=22.09s   p(90)=22.06s   p(95)=22.08s  
     iterations.....................: 250     11.310648/s
     vus............................: 55      min=55      max=250
running (0m22.1s), 000/250 VUs, 250 complete and 0 interrupted iterations
api_test ✓ [======================================] 250 VUs  0m22.1s/5m0s  250/250 iters, 1 per VU</t>
  </si>
  <si>
    <t>✗ creator user signup returns 2xx
↳  86% — ✓ 259 / ✗ 41
✗ register creator returns 2xx
↳  62% — ✓ 163 / ✗ 96
     checks.........................: 75.49% ✓ 422       ✗ 137  
     data_received..................: 1.9 MB 73 kB/s
     data_sent......................: 833 kB 32 kB/s
     http_req_blocked...............: avg=278.6ms  min=0s      med=163.74ms max=854.72ms p(90)=710.18ms p(95)=830.67ms
     http_req_connecting............: avg=43.8ms   min=0s      med=52.61ms  max=133.6ms  p(90)=95.74ms  p(95)=121.69ms
     http_req_duration..............: avg=11.17s   min=9.36ms  med=9.81s    max=24.97s   p(90)=22.41s   p(95)=23.33s  
       { expected_response:true }...: avg=10.72s   min=20.01ms med=9.58s    max=24.97s   p(90)=20.87s   p(95)=23.31s  
     http_req_failed................: 24.50% ✓ 137       ✗ 422  
     http_req_receiving.............: avg=140.84µs min=10µs    med=90µs     max=3.24ms   p(90)=223.8µs  p(95)=485.59µs
     http_req_sending...............: avg=194.63µs min=25µs    med=66µs     max=1.09ms   p(90)=471.4µs  p(95)=523.2µs 
     http_req_tls_handshaking.......: avg=227.81ms min=0s      med=108.2ms  max=751.12ms p(90)=610.86ms p(95)=727.2ms 
     http_req_waiting...............: avg=11.17s   min=8.99ms  med=9.81s    max=24.97s   p(90)=22.41s   p(95)=23.33s  
     http_reqs......................: 559    21.593703/s
     iteration_duration.............: avg=21.33s   min=6.04s   med=23.22s   max=25.87s   p(90)=25.75s   p(95)=25.82s  
     iterations.....................: 300    11.58875/s
     vus............................: 49     min=49      max=300
running (0m25.9s), 000/300 VUs, 300 complete and 0 interrupted iterations
api_test ✓ [======================================] 300 VUs  0m25.9s/5m0s  300/300 iters, 1 per VU</t>
  </si>
  <si>
    <t>// TC003 - Sustained Load
  TC003: {
    executor: 'constant-arrival-rate',
    rate: 10,
    timeUnit: '1s',
    duration: '10m',
    preAllocatedVUs: 50,
    maxVUs: 150,
  },</t>
  </si>
  <si>
    <t>✓ creator user signup returns 2xx
✓ register creator returns 2xx
     checks.........................: 100.00% ✓ 11872     ✗ 0    
     data_received..................: 13 MB   22 kB/s
     data_sent......................: 6.4 MB  11 kB/s
     dropped_iterations.............: 65      0.108254/s
     http_req_blocked...............: avg=425.72µs min=0s       med=1µs      max=300.95ms p(90)=2µs   p(95)=3µs  
     http_req_connecting............: avg=181.91µs min=0s       med=0s       max=163.71ms p(90)=0s    p(95)=0s   
     http_req_duration..............: avg=803.74ms min=15.79ms  med=318.02ms max=15.43s   p(90)=1.18s p(95)=3.8s 
       { expected_response:true }...: avg=803.74ms min=15.79ms  med=318.02ms max=15.43s   p(90)=1.18s p(95)=3.8s 
     http_req_failed................: 0.00%   ✓ 0         ✗ 11872
     http_req_receiving.............: avg=107.25µs min=9µs      med=84µs     max=4.58ms   p(90)=197µs p(95)=257µs
     http_req_sending...............: avg=359.2µs  min=21µs     med=361µs    max=4.55ms   p(90)=539µs p(95)=595µs
     http_req_tls_handshaking.......: avg=197.25µs min=0s       med=0s       max=106.31ms p(90)=0s    p(95)=0s   
     http_req_waiting...............: avg=803.27ms min=15.46ms  med=317.58ms max=15.42s   p(90)=1.18s p(95)=3.8s 
     http_reqs......................: 11872   19.772174/s
     iteration_duration.............: avg=1.6s     min=245.77ms med=689.47ms max=24.37s   p(90)=3.34s p(95)=8.14s
     iterations.....................: 5936    9.886087/s
     vus............................: 8       min=2       max=113
running (10m00.4s), 000/115 VUs, 5936 complete and 0 interrupted iterations
api_test ✓ [======================================] 000/115 VUs  10m0s  10.00 iters/s</t>
  </si>
  <si>
    <t>✓ creator user signup returns 2xx
✓ register creator returns 2xx
     checks.........................: 100.00% ✓ 20        ✗ 0   
     data_received..................: 67 kB   41 kB/s
     data_sent......................: 28 kB   17 kB/s
     http_req_blocked...............: avg=29.49ms  min=0s      med=26.21ms  max=64.05ms p(90)=61.95ms p(95)=63.48ms 
     http_req_connecting............: avg=6.87ms   min=0s      med=5.26ms   max=14.24ms p(90)=14.16ms p(95)=14.24ms 
     http_req_duration..............: avg=741.58ms min=19.66ms med=780.71ms max=1.54s   p(90)=1.52s   p(95)=1.52s   
       { expected_response:true }...: avg=741.58ms min=19.66ms med=780.71ms max=1.54s   p(90)=1.52s   p(95)=1.52s   
     http_req_failed................: 0.00%   ✓ 0         ✗ 20  
     http_req_receiving.............: avg=82.1µs   min=26µs    med=59.5µs   max=270µs   p(90)=136.1µs p(95)=152.19µs
     http_req_sending...............: avg=201.4µs  min=46µs    med=147µs    max=434µs   p(90)=417µs   p(95)=426.4µs 
     http_req_tls_handshaking.......: avg=11.01ms  min=0s      med=8.76ms   max=26.95ms p(90)=24.83ms p(95)=25.77ms 
     http_req_waiting...............: avg=741.3ms  min=19.3ms  med=780.32ms max=1.54s   p(90)=1.52s   p(95)=1.52s   
     http_reqs......................: 20      12.279016/s
     iteration_duration.............: avg=1.54s    min=1.27s   med=1.6s     max=1.62s   p(90)=1.62s   p(95)=1.62s   
     iterations.....................: 10      6.139508/s
     vus............................: 10      min=10      max=10
running (0m01.6s), 00/10 VUs, 10 complete and 0 interrupted iterations
api_test ✓ [======================================] 10 VUs  0m01.6s/1m0s  10/10 iters, 1 per VU</t>
  </si>
  <si>
    <t>✓ creator user signup returns 2xx
✓ register creator returns 2xx
     checks.........................: 100.00% ✓ 500       ✗ 0    
     data_received..................: 1.7 MB  74 kB/s
     data_sent......................: 709 kB  31 kB/s
     http_req_blocked...............: avg=222.33ms min=0s      med=139.21ms max=919.48ms p(90)=448.29ms p(95)=729.8ms 
     http_req_connecting............: avg=76.49ms  min=0s      med=67.77ms  max=172.84ms p(90)=171.43ms p(95)=172.34ms
     http_req_duration..............: avg=9.75s    min=19.71ms med=9.22s    max=22.21s   p(90)=19.41s   p(95)=21.22s  
       { expected_response:true }...: avg=9.75s    min=19.71ms med=9.22s    max=22.21s   p(90)=19.41s   p(95)=21.22s  
     http_req_failed................: 0.00%   ✓ 0         ✗ 500  
     http_req_receiving.............: avg=88.3µs   min=9µs     med=64µs     max=635µs    p(90)=175µs    p(95)=226.74µs
     http_req_sending...............: avg=212.64µs min=25µs    med=84.5µs   max=6.06ms   p(90)=425.1µs  p(95)=463.24µs
     http_req_tls_handshaking.......: avg=139.13ms min=0s      med=63.45ms  max=732.95ms p(90)=282.81ms p(95)=566.17ms
     http_req_waiting...............: avg=9.75s    min=16.89ms med=9.22s    max=22.21s   p(90)=19.41s   p(95)=21.22s  
     http_reqs......................: 500     21.987548/s
     iteration_duration.............: avg=19.94s   min=10.82s  med=21.48s   max=22.73s   p(90)=22.7s    p(95)=22.73s  
     iterations.....................: 250     10.993774/s
     vus............................: 76      min=76      max=250
running (0m22.7s), 000/250 VUs, 250 complete and 0 interrupted iterations
api_test ✓ [======================================] 250 VUs  0m22.7s/5m0s  250/250 iters, 1 per VU</t>
  </si>
  <si>
    <t>✓ creator user signup returns 2xx
✗ register creator returns 2xx
↳  92% — ✓ 276 / ✗ 24
     checks.........................: 96.00% ✓ 576       ✗ 24   
     data_received..................: 2.0 MB 76 kB/s
     data_sent......................: 851 kB 32 kB/s
     http_req_blocked...............: avg=236.02ms min=0s      med=96.32ms max=1.29s    p(90)=759.04ms p(95)=814.85ms
     http_req_connecting............: avg=43.47ms  min=0s      med=19.18ms max=133.92ms p(90)=113.82ms p(95)=120.79ms
     http_req_duration..............: avg=11.31s   min=8.22ms  med=10.72s  max=25.46s   p(90)=23.76s   p(95)=24.68s  
       { expected_response:true }...: avg=11.78s   min=17.57ms med=11.07s  max=25.46s   p(90)=23.76s   p(95)=24.76s  
     http_req_failed................: 4.00%  ✓ 24        ✗ 576  
     http_req_receiving.............: avg=192.45µs min=11µs    med=73µs    max=3.84ms   p(90)=212.1µs  p(95)=858.79µs
     http_req_sending...............: avg=180.91µs min=26µs    med=86.5µs  max=1.68ms   p(90)=421.2µs  p(95)=510µs   
     http_req_tls_handshaking.......: avg=149.26ms min=0s      med=32.32ms max=1.08s    p(90)=587.07ms p(95)=638.17ms
     http_req_waiting...............: avg=11.31s   min=7.88ms  med=10.72s  max=25.46s   p(90)=23.76s   p(95)=24.68s  
     http_reqs......................: 600    22.645701/s
     iteration_duration.............: avg=23.1s    min=12.33s  med=24.8s   max=26.49s   p(90)=25.92s   p(95)=25.96s  
     iterations.....................: 300    11.322851/s
     vus............................: 24     min=24      max=300
running (0m26.5s), 000/300 VUs, 300 complete and 0 interrupted iterations
api_test ✓ [======================================] 300 VUs  0m26.5s/5m0s  300/300 iters, 1 per VU</t>
  </si>
  <si>
    <t>✓ creator user signup returns 2xx
✓ register creator returns 2xx
     checks.........................: 100.00% ✓ 11868     ✗ 0    
     data_received..................: 13 MB   22 kB/s
     data_sent......................: 6.2 MB  10 kB/s
     dropped_iterations.............: 67      0.111596/s
     http_req_blocked...............: avg=416.3µs  min=0s       med=1µs      max=122.16ms p(90)=2µs   p(95)=2µs     
     http_req_connecting............: avg=205.57µs min=0s       med=0s       max=101.74ms p(90)=0s    p(95)=0s      
     http_req_duration..............: avg=791.79ms min=16.38ms  med=340.13ms max=13.81s   p(90)=1.58s p(95)=3.44s   
       { expected_response:true }...: avg=791.79ms min=16.38ms  med=340.13ms max=13.81s   p(90)=1.58s p(95)=3.44s   
     http_req_failed................: 0.00%   ✓ 0         ✗ 11868
     http_req_receiving.............: avg=102.59µs min=6µs      med=79µs     max=4.48ms   p(90)=199µs p(95)=259µs   
     http_req_sending...............: avg=369.53µs min=26µs     med=366µs    max=3.26ms   p(90)=548µs p(95)=642.64µs
     http_req_tls_handshaking.......: avg=203.13µs min=0s       med=0s       max=105.2ms  p(90)=0s    p(95)=0s      
     http_req_waiting...............: avg=791.32ms min=16.07ms  med=339.56ms max=13.81s   p(90)=1.58s p(95)=3.44s   
     http_reqs......................: 11868   19.767412/s
     iteration_duration.............: avg=1.58s    min=245.43ms med=690.97ms max=21.59s   p(90)=4.22s p(95)=7.75s   
     iterations.....................: 5934    9.883706/s
     vus............................: 7       min=2       max=114
running (10m00.4s), 000/117 VUs, 5934 complete and 0 interrupted iterations
api_test ✓ [======================================] 000/117 VUs  10m0s  10.00 iters/s</t>
  </si>
  <si>
    <t>✓ Landing page returns 2xx
     checks.........................: 100.00% ✓ 10       ✗ 0   
     data_received..................: 158 kB  109 kB/s
     data_sent......................: 3.6 kB  2.5 kB/s
     http_req_blocked...............: avg=41.44ms min=2µs     med=6µs     max=129.1ms  p(90)=126.14ms p(95)=126.18ms
     http_req_connecting............: avg=7.66ms  min=0s      med=0s      max=28.11ms  p(90)=24.36ms  p(95)=24.46ms 
     http_req_duration..............: avg=99.23ms min=19.3ms  med=95.9ms  max=209ms    p(90)=208.85ms p(95)=208.91ms
       { expected_response:true }...: avg=99.23ms min=19.3ms  med=95.9ms  max=209ms    p(90)=208.85ms p(95)=208.91ms
     http_req_failed................: 0.00%   ✓ 0        ✗ 30  
     http_req_receiving.............: avg=43.49ms min=26µs    med=148.5µs max=156.97ms p(90)=153.99ms p(95)=154.16ms
     http_req_sending...............: avg=25.9µs  min=6µs     med=16.5µs  max=136µs    p(90)=50.9µs   p(95)=81.74µs 
     http_req_tls_handshaking.......: avg=0s      min=0s      med=0s      max=0s       p(90)=0s       p(95)=0s      
     http_req_waiting...............: avg=55.71ms min=19.13ms med=48.15ms max=111.07ms p(90)=99.05ms  p(95)=102.47ms
     http_reqs......................: 30      20.66258/s
     iteration_duration.............: avg=1.42s   min=1.37s   med=1.45s   max=1.45s    p(90)=1.45s    p(95)=1.45s   
     iterations.....................: 10      6.887527/s
     vus............................: 10      min=10     max=10
     vus_max........................: 10      min=10     max=10
running (0m01.5s), 00/10 VUs, 10 complete and 0 interrupted iterations
landing ✓ [ 100% ] 10 VUs  0m01.5s/1m0s  10/10 iters, 1 per VU
==============================================
K6 Load Test completed
HTML Report :
/Users/supitcha.t/Documents/sarnfund-k6-loadtest/result/landing/TC001/landing_TC001_web_20260924_161940.html</t>
  </si>
  <si>
    <t>✓ Landing page returns 2xx
     checks.........................: 100.00% ✓ 1000       ✗ 0     
     data_received..................: 16 MB   1.3 MB/s
     data_sent......................: 364 kB  31 kB/s
     http_req_blocked...............: avg=36.48ms min=0s      med=5µs      max=129.9ms  p(90)=121.19ms p(95)=123.33ms
     http_req_connecting............: avg=33.82ms min=0s      med=0s       max=112.67ms p(90)=104.27ms p(95)=105.23ms
     http_req_duration..............: avg=1.88s   min=18.09ms med=415.91ms max=10.52s   p(90)=7.3s     p(95)=8.71s   
       { expected_response:true }...: avg=1.88s   min=18.09ms med=415.91ms max=10.52s   p(90)=7.3s     p(95)=8.71s   
     http_req_failed................: 0.00%   ✓ 0          ✗ 3000  
     http_req_receiving.............: avg=13.97ms min=6µs     med=79µs     max=251.93ms p(90)=37.65ms  p(95)=56.14ms 
     http_req_sending...............: avg=11.7µs  min=1µs     med=9µs      max=262µs    p(90)=20µs     p(95)=27µs    
     http_req_tls_handshaking.......: avg=0s      min=0s      med=0s       max=0s       p(90)=0s       p(95)=0s      
     http_req_waiting...............: avg=1.87s   min=17.89ms med=381.31ms max=10.5s    p(90)=7.3s     p(95)=8.71s   
     http_reqs......................: 3000    252.588463/s
     iteration_duration.............: avg=6.76s   min=1.34s   med=6.67s    max=11.86s   p(90)=10.85s   p(95)=11.46s  
     iterations.....................: 1000    84.196154/s
     vus............................: 84      min=84       max=1000
     vus_max........................: 1000    min=1000     max=1000
running (0m11.9s), 0000/1000 VUs, 1000 complete and 0 interrupted iterations
landing ✓ [ 100% ] 1000 VUs  0m11.9s/5m0s  1000/1000 iters, 1 per VU
==============================================
K6 Load Test completed
HTML Report :
/Users/supitcha.t/Documents/sarnfund-k6-loadtest/result/landing/TC002/landing_TC002_web_20260924_162203.html</t>
  </si>
  <si>
    <t>// TC003 - Sustained Load
  TC003: {
    executor: 'constant-arrival-rate',
    rate: 20,
    timeUnit: '1s',
    duration: '10m',
    preAllocatedVUs: 150,
    maxVUs: 300,
  },</t>
  </si>
  <si>
    <t>✗ Landing page returns 2xx
      ↳  99% — ✓ 11957 / ✗ 44
     checks.........................: 99.63% ✓ 11957     ✗ 44   
     data_received..................: 189 MB 314 kB/s
     data_sent......................: 4.4 MB 7.3 kB/s
     http_req_blocked...............: avg=139.32µs min=0s      med=7µs     max=154.09ms p(90)=13µs    p(95)=15µs    
     http_req_connecting............: avg=123.68µs min=0s      med=0s      max=108.37ms p(90)=0s      p(95)=0s      
     http_req_duration..............: avg=48.35ms  min=13.85ms med=26.42ms max=10.2s    p(90)=95.18ms p(95)=105.07ms
       { expected_response:true }...: avg=36.66ms  min=13.85ms med=26.34ms max=455.1ms  p(90)=94.9ms  p(95)=104.86ms
     http_req_failed................: 0.12%  ✓ 44        ✗ 35932
     http_req_receiving.............: avg=3.1ms    min=8µs     med=109µs   max=423.99ms p(90)=5.63ms  p(95)=7.74ms  
     http_req_sending...............: avg=23.57µs  min=2µs     med=20µs    max=1.72ms   p(90)=40µs    p(95)=48µs    
     http_req_tls_handshaking.......: avg=0s       min=0s      med=0s      max=0s       p(90)=0s      p(95)=0s      
     http_req_waiting...............: avg=45.22ms  min=13.73ms med=23.3ms  max=10.2s    p(90)=91.79ms p(95)=102.59ms
     http_reqs......................: 35976  59.850132/s
     iteration_duration.............: avg=1.14s    min=1.05s   med=1.1s    max=11.25s   p(90)=1.15s   p(95)=1.16s   
     iterations.....................: 12001  19.965016/s
     vus............................: 4      min=4       max=65 
     vus_max........................: 150    min=150     max=150
running (10m01.1s), 000/150 VUs, 12001 complete and 0 interrupted iterations
landing ✓ [ 100% ] 000/150 VUs  10m0s  20.00 iters/s</t>
  </si>
  <si>
    <t>AI Generate Capacity</t>
  </si>
  <si>
    <t>AI Generate Performance Test measures task submission/queue acceptance performance. It does not measure AI task completion time or end-to-end generation throughput.</t>
  </si>
  <si>
    <t>AI Type</t>
  </si>
  <si>
    <t>Total Gen Requests</t>
  </si>
  <si>
    <t>201 Success</t>
  </si>
  <si>
    <t>201 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</si>
</sst>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"/>
  </numFmts>
  <fonts count="9" x14ac:knownFonts="1">
    <font>
      <sz val="11"/>
      <color theme="1"/>
      <name val="Calibri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3"/>
  </cellStyleXfs>
  <cellXfs count="24">
    <xf numFmtId="0" fontId="0" fillId="0" borderId="0" xfId="0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">
    <cellStyle name="Normal" xfId="0" builtinId="0"/>
  </cellStyles>
  <dxfs count="1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4" defaultTableStyle="TableStyleMedium9" defaultPivotStyle="PivotStyleLight16">
    <tableStyle name="Test Summary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AI Capacity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SignupLanding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ignupLanding-style 2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Summary" displayName="Test_Summary" ref="A3:N21">
  <tableColumns count="14">
    <tableColumn id="1" xr3:uid="{00000000-0010-0000-0000-000001000000}" name="Test Case ID"/>
    <tableColumn id="2" xr3:uid="{00000000-0010-0000-0000-000002000000}" name="Test Type"/>
    <tableColumn id="3" xr3:uid="{00000000-0010-0000-0000-000003000000}" name="API Flow"/>
    <tableColumn id="4" xr3:uid="{00000000-0010-0000-0000-000004000000}" name="Environment"/>
    <tableColumn id="5" xr3:uid="{00000000-0010-0000-0000-000005000000}" name="Test Date"/>
    <tableColumn id="6" xr3:uid="{00000000-0010-0000-0000-000006000000}" name="Target VUs"/>
    <tableColumn id="7" xr3:uid="{00000000-0010-0000-0000-000007000000}" name="Max VUs"/>
    <tableColumn id="8" xr3:uid="{00000000-0010-0000-0000-000008000000}" name="Avg (ms)"/>
    <tableColumn id="9" xr3:uid="{00000000-0010-0000-0000-000009000000}" name="P90 (ms)"/>
    <tableColumn id="10" xr3:uid="{00000000-0010-0000-0000-00000A000000}" name="P95 (ms)"/>
    <tableColumn id="11" xr3:uid="{00000000-0010-0000-0000-00000B000000}" name="Error Rate (%)"/>
    <tableColumn id="12" xr3:uid="{00000000-0010-0000-0000-00000C000000}" name="Result"/>
    <tableColumn id="13" xr3:uid="{00000000-0010-0000-0000-00000D000000}" name="HTML Report"/>
    <tableColumn id="14" xr3:uid="{00000000-0010-0000-0000-00000E000000}" name="Note"/>
  </tableColumns>
  <tableStyleInfo name="Test Summ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6_RESULTS_HTML" displayName="k6_RESULTS_HTML" ref="A3:T12">
  <tableColumns count="20">
    <tableColumn id="1" xr3:uid="{00000000-0010-0000-0100-000001000000}" name="Test Case ID"/>
    <tableColumn id="2" xr3:uid="{00000000-0010-0000-0100-000002000000}" name="Scenario"/>
    <tableColumn id="3" xr3:uid="{00000000-0010-0000-0100-000003000000}" name="API Flow"/>
    <tableColumn id="4" xr3:uid="{00000000-0010-0000-0100-000004000000}" name="Target VUs"/>
    <tableColumn id="5" xr3:uid="{00000000-0010-0000-0100-000005000000}" name="Max VUs"/>
    <tableColumn id="6" xr3:uid="{00000000-0010-0000-0100-000006000000}" name="Total Requests"/>
    <tableColumn id="7" xr3:uid="{00000000-0010-0000-0100-000007000000}" name="Avg (ms)"/>
    <tableColumn id="8" xr3:uid="{00000000-0010-0000-0100-000008000000}" name="Min (ms)"/>
    <tableColumn id="9" xr3:uid="{00000000-0010-0000-0100-000009000000}" name="Median (ms)"/>
    <tableColumn id="10" xr3:uid="{00000000-0010-0000-0100-00000A000000}" name="Max (ms)"/>
    <tableColumn id="11" xr3:uid="{00000000-0010-0000-0100-00000B000000}" name="P90 (ms)"/>
    <tableColumn id="12" xr3:uid="{00000000-0010-0000-0100-00000C000000}" name="P95 (ms)"/>
    <tableColumn id="13" xr3:uid="{00000000-0010-0000-0100-00000D000000}" name="Error Rate (%)"/>
    <tableColumn id="14" xr3:uid="{00000000-0010-0000-0100-00000E000000}" name="Checks Passed"/>
    <tableColumn id="15" xr3:uid="{00000000-0010-0000-0100-00000F000000}" name="Checks Failed"/>
    <tableColumn id="16" xr3:uid="{00000000-0010-0000-0100-000010000000}" name="Check Pass Rate (%)"/>
    <tableColumn id="17" xr3:uid="{00000000-0010-0000-0100-000011000000}" name="Result"/>
    <tableColumn id="18" xr3:uid="{00000000-0010-0000-0100-000012000000}" name="Test Case"/>
    <tableColumn id="19" xr3:uid="{00000000-0010-0000-0100-000013000000}" name="Console log - Success"/>
    <tableColumn id="20" xr3:uid="{00000000-0010-0000-0100-000014000000}" name="Console log - Failed"/>
  </tableColumns>
  <tableStyleInfo name="SignupLan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13:O15" headerRowCount="0">
  <tableColumns count="1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</tableColumns>
  <tableStyleInfo name="SignupLanding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_Capacity" displayName="AI_Capacity" ref="A3:O9">
  <tableColumns count="15">
    <tableColumn id="1" xr3:uid="{00000000-0010-0000-0300-000001000000}" name="Test Case ID"/>
    <tableColumn id="2" xr3:uid="{00000000-0010-0000-0300-000002000000}" name="Scenario"/>
    <tableColumn id="3" xr3:uid="{00000000-0010-0000-0300-000003000000}" name="AI Type"/>
    <tableColumn id="4" xr3:uid="{00000000-0010-0000-0300-000004000000}" name="Target VUs"/>
    <tableColumn id="5" xr3:uid="{00000000-0010-0000-0300-000005000000}" name="Max VUs"/>
    <tableColumn id="6" xr3:uid="{00000000-0010-0000-0300-000006000000}" name="Total Gen Requests"/>
    <tableColumn id="7" xr3:uid="{00000000-0010-0000-0300-000007000000}" name="201 Success"/>
    <tableColumn id="8" xr3:uid="{00000000-0010-0000-0300-000008000000}" name="Error Rate (%)"/>
    <tableColumn id="9" xr3:uid="{00000000-0010-0000-0300-000009000000}" name="Avg (ms)"/>
    <tableColumn id="10" xr3:uid="{00000000-0010-0000-0300-00000A000000}" name="P90 (ms)"/>
    <tableColumn id="11" xr3:uid="{00000000-0010-0000-0300-00000B000000}" name="P95 (ms)"/>
    <tableColumn id="12" xr3:uid="{00000000-0010-0000-0300-00000C000000}" name="201 Success Rate (%)"/>
    <tableColumn id="13" xr3:uid="{00000000-0010-0000-0300-00000D000000}" name="Result"/>
    <tableColumn id="14" xr3:uid="{00000000-0010-0000-0300-00000E000000}" name="Console log - Success"/>
    <tableColumn id="15" xr3:uid="{00000000-0010-0000-0300-00000F000000}" name="Console log - Failed"/>
  </tableColumns>
  <tableStyleInfo name="AI Capac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_IbP1LDi3HWH7X6lfDUwd7gieska7dB/view?usp=drive_link" TargetMode="External"/><Relationship Id="rId3" Type="http://schemas.openxmlformats.org/officeDocument/2006/relationships/hyperlink" Target="https://drive.google.com/file/d/1neEX6LJi8E6wFf0FVty4Ka1Z1bs4YduF/view?usp=drive_link" TargetMode="External"/><Relationship Id="rId7" Type="http://schemas.openxmlformats.org/officeDocument/2006/relationships/hyperlink" Target="https://drive.google.com/file/d/1Oamyupg5WOXCrz_OGWCDv-E7GHBlK50W/view?usp=drive_lin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rive.google.com/file/d/1SE79HkyJ7M5onsWm0wh-L4Xf2vaaUgHX/view?usp=drive_link" TargetMode="External"/><Relationship Id="rId1" Type="http://schemas.openxmlformats.org/officeDocument/2006/relationships/hyperlink" Target="https://drive.google.com/file/d/1RV4xUU68E4R8KsMKMWDr3J6k6QGz2tCU/view?usp=sharing" TargetMode="External"/><Relationship Id="rId6" Type="http://schemas.openxmlformats.org/officeDocument/2006/relationships/hyperlink" Target="https://drive.google.com/file/d/14t6zKIgrSbBoxwdnJWMJaaS_f6QjYDZD/view?usp=drive_link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rive.google.com/file/d/1lnRurSp2vw6vZF5WdmlQwk3cwuoM55As/view?usp=drive_link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drive.google.com/file/d/1qxUaSOL7m52qNEfyp0CehtbShUGDubMd/view?usp=drive_link" TargetMode="External"/><Relationship Id="rId9" Type="http://schemas.openxmlformats.org/officeDocument/2006/relationships/hyperlink" Target="https://drive.google.com/file/d/1Ee4Sn8YGEwUthRu4N-a-3ij6_y28hWsl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N26" sqref="N26"/>
    </sheetView>
  </sheetViews>
  <sheetFormatPr baseColWidth="10" defaultColWidth="14.5" defaultRowHeight="15" customHeight="1" x14ac:dyDescent="0.2"/>
  <cols>
    <col min="1" max="1" width="18.33203125" customWidth="1"/>
    <col min="2" max="2" width="16" customWidth="1"/>
    <col min="3" max="3" width="21.83203125" customWidth="1"/>
    <col min="4" max="4" width="18.5" customWidth="1"/>
    <col min="5" max="5" width="19" customWidth="1"/>
    <col min="6" max="7" width="18.83203125" customWidth="1"/>
    <col min="8" max="10" width="16" customWidth="1"/>
    <col min="11" max="11" width="21.5" customWidth="1"/>
    <col min="12" max="12" width="16" customWidth="1"/>
    <col min="13" max="13" width="55.33203125" customWidth="1"/>
    <col min="14" max="14" width="52.33203125" customWidth="1"/>
    <col min="15" max="25" width="8.6640625" customWidth="1"/>
  </cols>
  <sheetData>
    <row r="1" spans="1:25" ht="20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5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22.5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 t="s">
        <v>14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2.5" customHeight="1" x14ac:dyDescent="0.2">
      <c r="A4" s="10" t="s">
        <v>15</v>
      </c>
      <c r="B4" s="10" t="s">
        <v>16</v>
      </c>
      <c r="C4" s="10" t="s">
        <v>17</v>
      </c>
      <c r="D4" s="10" t="s">
        <v>18</v>
      </c>
      <c r="E4" s="11">
        <v>46289</v>
      </c>
      <c r="F4" s="10">
        <v>10</v>
      </c>
      <c r="G4" s="10">
        <v>10</v>
      </c>
      <c r="H4" s="10">
        <v>234.46</v>
      </c>
      <c r="I4" s="10">
        <v>305.83999999999997</v>
      </c>
      <c r="J4" s="10">
        <v>342.94</v>
      </c>
      <c r="K4" s="10">
        <v>0</v>
      </c>
      <c r="L4" s="12" t="s">
        <v>19</v>
      </c>
      <c r="M4" s="13" t="s">
        <v>20</v>
      </c>
      <c r="N4" s="13" t="s">
        <v>21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22.5" customHeight="1" x14ac:dyDescent="0.2">
      <c r="A5" s="10" t="s">
        <v>22</v>
      </c>
      <c r="B5" s="10" t="s">
        <v>23</v>
      </c>
      <c r="C5" s="10" t="s">
        <v>17</v>
      </c>
      <c r="D5" s="10" t="s">
        <v>18</v>
      </c>
      <c r="E5" s="11">
        <v>46288</v>
      </c>
      <c r="F5" s="10">
        <v>1000</v>
      </c>
      <c r="G5" s="10">
        <v>1000</v>
      </c>
      <c r="H5" s="15">
        <v>11239.31</v>
      </c>
      <c r="I5" s="15">
        <v>18710.73</v>
      </c>
      <c r="J5" s="15">
        <v>19591.97</v>
      </c>
      <c r="K5" s="10">
        <v>0</v>
      </c>
      <c r="L5" s="12" t="s">
        <v>19</v>
      </c>
      <c r="M5" s="13" t="s">
        <v>24</v>
      </c>
      <c r="N5" s="13" t="s">
        <v>25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22.5" customHeight="1" x14ac:dyDescent="0.2">
      <c r="A6" s="10" t="s">
        <v>26</v>
      </c>
      <c r="B6" s="10" t="s">
        <v>27</v>
      </c>
      <c r="C6" s="10" t="s">
        <v>17</v>
      </c>
      <c r="D6" s="10" t="s">
        <v>18</v>
      </c>
      <c r="E6" s="11">
        <v>46288</v>
      </c>
      <c r="F6" s="10">
        <v>93</v>
      </c>
      <c r="G6" s="10">
        <v>93</v>
      </c>
      <c r="H6" s="16">
        <v>176.72</v>
      </c>
      <c r="I6" s="16">
        <v>257.86</v>
      </c>
      <c r="J6" s="16">
        <v>270.39999999999998</v>
      </c>
      <c r="K6" s="10">
        <v>0</v>
      </c>
      <c r="L6" s="12" t="s">
        <v>19</v>
      </c>
      <c r="M6" s="13" t="s">
        <v>28</v>
      </c>
      <c r="N6" s="13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22.5" hidden="1" customHeight="1" x14ac:dyDescent="0.2">
      <c r="A7" s="17" t="s">
        <v>15</v>
      </c>
      <c r="B7" s="10" t="s">
        <v>16</v>
      </c>
      <c r="C7" s="10" t="s">
        <v>30</v>
      </c>
      <c r="D7" s="10" t="s">
        <v>18</v>
      </c>
      <c r="E7" s="11">
        <v>46267</v>
      </c>
      <c r="F7" s="10">
        <v>10</v>
      </c>
      <c r="G7" s="10">
        <v>10</v>
      </c>
      <c r="H7" s="10">
        <v>811.77</v>
      </c>
      <c r="I7" s="10">
        <v>1719.62</v>
      </c>
      <c r="J7" s="10">
        <v>1722.45</v>
      </c>
      <c r="K7" s="10">
        <v>0</v>
      </c>
      <c r="L7" s="12" t="s">
        <v>19</v>
      </c>
      <c r="M7" s="18" t="s">
        <v>31</v>
      </c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hidden="1" customHeight="1" x14ac:dyDescent="0.2">
      <c r="A8" s="17" t="s">
        <v>22</v>
      </c>
      <c r="B8" s="10" t="s">
        <v>23</v>
      </c>
      <c r="C8" s="10" t="s">
        <v>30</v>
      </c>
      <c r="D8" s="10" t="s">
        <v>18</v>
      </c>
      <c r="E8" s="11">
        <v>46271</v>
      </c>
      <c r="F8" s="10">
        <v>1000</v>
      </c>
      <c r="G8" s="10">
        <v>250</v>
      </c>
      <c r="H8" s="16">
        <v>9618.1</v>
      </c>
      <c r="I8" s="10">
        <v>19949.669999999998</v>
      </c>
      <c r="J8" s="10">
        <v>20974.17</v>
      </c>
      <c r="K8" s="10"/>
      <c r="L8" s="12" t="s">
        <v>19</v>
      </c>
      <c r="M8" s="19" t="s">
        <v>32</v>
      </c>
      <c r="N8" s="10" t="s">
        <v>33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hidden="1" customHeight="1" x14ac:dyDescent="0.2">
      <c r="A9" s="17" t="s">
        <v>26</v>
      </c>
      <c r="B9" s="10" t="s">
        <v>27</v>
      </c>
      <c r="C9" s="10" t="s">
        <v>30</v>
      </c>
      <c r="D9" s="10" t="s">
        <v>18</v>
      </c>
      <c r="E9" s="11">
        <v>46271</v>
      </c>
      <c r="F9" s="10">
        <v>115</v>
      </c>
      <c r="G9" s="10">
        <v>115</v>
      </c>
      <c r="H9" s="15">
        <v>803.74</v>
      </c>
      <c r="I9" s="15">
        <v>1184.21</v>
      </c>
      <c r="J9" s="15">
        <v>3803.12</v>
      </c>
      <c r="K9" s="20">
        <v>0</v>
      </c>
      <c r="L9" s="12" t="s">
        <v>19</v>
      </c>
      <c r="M9" s="18" t="s">
        <v>34</v>
      </c>
      <c r="N9" s="10" t="s">
        <v>35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hidden="1" customHeight="1" x14ac:dyDescent="0.2">
      <c r="A10" s="17" t="s">
        <v>15</v>
      </c>
      <c r="B10" s="10" t="s">
        <v>16</v>
      </c>
      <c r="C10" s="10" t="s">
        <v>36</v>
      </c>
      <c r="D10" s="10" t="s">
        <v>18</v>
      </c>
      <c r="E10" s="11">
        <v>46269</v>
      </c>
      <c r="F10" s="10">
        <v>10</v>
      </c>
      <c r="G10" s="10">
        <v>10</v>
      </c>
      <c r="H10" s="10">
        <v>741.59</v>
      </c>
      <c r="I10" s="10">
        <v>1520.19</v>
      </c>
      <c r="J10" s="10">
        <v>1521.57</v>
      </c>
      <c r="K10" s="10">
        <v>0</v>
      </c>
      <c r="L10" s="12" t="s">
        <v>19</v>
      </c>
      <c r="M10" s="18" t="s">
        <v>37</v>
      </c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hidden="1" customHeight="1" x14ac:dyDescent="0.2">
      <c r="A11" s="17" t="s">
        <v>22</v>
      </c>
      <c r="B11" s="10" t="s">
        <v>23</v>
      </c>
      <c r="C11" s="10" t="s">
        <v>36</v>
      </c>
      <c r="D11" s="10" t="s">
        <v>18</v>
      </c>
      <c r="E11" s="11">
        <v>46271</v>
      </c>
      <c r="F11" s="10">
        <v>1000</v>
      </c>
      <c r="G11" s="10">
        <v>250</v>
      </c>
      <c r="H11" s="15">
        <v>9751.94</v>
      </c>
      <c r="I11" s="15">
        <v>19410.740000000002</v>
      </c>
      <c r="J11" s="15">
        <v>21226.11</v>
      </c>
      <c r="K11" s="10">
        <v>0</v>
      </c>
      <c r="L11" s="12" t="s">
        <v>19</v>
      </c>
      <c r="M11" s="18" t="s">
        <v>38</v>
      </c>
      <c r="N11" s="10" t="s">
        <v>39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hidden="1" customHeight="1" x14ac:dyDescent="0.2">
      <c r="A12" s="17" t="s">
        <v>26</v>
      </c>
      <c r="B12" s="10" t="s">
        <v>27</v>
      </c>
      <c r="C12" s="10" t="s">
        <v>36</v>
      </c>
      <c r="D12" s="10" t="s">
        <v>18</v>
      </c>
      <c r="E12" s="11">
        <v>46271</v>
      </c>
      <c r="F12" s="10">
        <v>117</v>
      </c>
      <c r="G12" s="10">
        <v>117</v>
      </c>
      <c r="H12" s="16">
        <v>791.8</v>
      </c>
      <c r="I12" s="16">
        <v>1581.27</v>
      </c>
      <c r="J12" s="16">
        <v>3448.34</v>
      </c>
      <c r="K12" s="20">
        <v>0</v>
      </c>
      <c r="L12" s="12" t="s">
        <v>19</v>
      </c>
      <c r="M12" s="18" t="s">
        <v>40</v>
      </c>
      <c r="N12" s="10" t="s">
        <v>41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">
      <c r="A13" s="10" t="s">
        <v>15</v>
      </c>
      <c r="B13" s="10" t="s">
        <v>16</v>
      </c>
      <c r="C13" s="10" t="s">
        <v>42</v>
      </c>
      <c r="D13" s="10" t="s">
        <v>18</v>
      </c>
      <c r="E13" s="11">
        <v>46289</v>
      </c>
      <c r="F13" s="10">
        <v>2</v>
      </c>
      <c r="G13" s="10">
        <v>2</v>
      </c>
      <c r="H13" s="10">
        <v>1839.18</v>
      </c>
      <c r="I13" s="10">
        <v>1839.22</v>
      </c>
      <c r="J13" s="10">
        <v>1839.22</v>
      </c>
      <c r="K13" s="10">
        <v>0</v>
      </c>
      <c r="L13" s="12" t="s">
        <v>19</v>
      </c>
      <c r="M13" s="18" t="s">
        <v>43</v>
      </c>
      <c r="N13" s="10" t="s">
        <v>44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">
      <c r="A14" s="10" t="s">
        <v>22</v>
      </c>
      <c r="B14" s="10" t="s">
        <v>23</v>
      </c>
      <c r="C14" s="10" t="s">
        <v>42</v>
      </c>
      <c r="D14" s="10" t="s">
        <v>18</v>
      </c>
      <c r="E14" s="11">
        <v>46289</v>
      </c>
      <c r="F14" s="10">
        <v>100</v>
      </c>
      <c r="G14" s="10">
        <v>100</v>
      </c>
      <c r="H14" s="10">
        <v>4148.34</v>
      </c>
      <c r="I14" s="10">
        <v>5241.24</v>
      </c>
      <c r="J14" s="10">
        <v>6187.73</v>
      </c>
      <c r="K14" s="10">
        <v>0</v>
      </c>
      <c r="L14" s="12" t="s">
        <v>19</v>
      </c>
      <c r="M14" s="18" t="s">
        <v>45</v>
      </c>
      <c r="N14" s="10" t="s">
        <v>46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">
      <c r="A15" s="10" t="s">
        <v>15</v>
      </c>
      <c r="B15" s="10" t="s">
        <v>16</v>
      </c>
      <c r="C15" s="10" t="s">
        <v>47</v>
      </c>
      <c r="D15" s="10" t="s">
        <v>18</v>
      </c>
      <c r="E15" s="11">
        <v>46289</v>
      </c>
      <c r="F15" s="10">
        <v>2</v>
      </c>
      <c r="G15" s="10">
        <v>2</v>
      </c>
      <c r="H15" s="10">
        <v>2570.6</v>
      </c>
      <c r="I15" s="10">
        <v>2677.11</v>
      </c>
      <c r="J15" s="10">
        <v>2690.43</v>
      </c>
      <c r="K15" s="10">
        <v>0</v>
      </c>
      <c r="L15" s="12" t="s">
        <v>19</v>
      </c>
      <c r="M15" s="18" t="s">
        <v>48</v>
      </c>
      <c r="N15" s="10" t="s">
        <v>49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">
      <c r="A16" s="10" t="s">
        <v>22</v>
      </c>
      <c r="B16" s="10" t="s">
        <v>23</v>
      </c>
      <c r="C16" s="10" t="s">
        <v>47</v>
      </c>
      <c r="D16" s="10" t="s">
        <v>18</v>
      </c>
      <c r="E16" s="11">
        <v>46289</v>
      </c>
      <c r="F16" s="10">
        <v>100</v>
      </c>
      <c r="G16" s="10">
        <v>100</v>
      </c>
      <c r="H16" s="10">
        <v>10579.36</v>
      </c>
      <c r="I16" s="10">
        <v>14391.08</v>
      </c>
      <c r="J16" s="10">
        <v>14616.33</v>
      </c>
      <c r="K16" s="10">
        <v>0</v>
      </c>
      <c r="L16" s="12" t="s">
        <v>19</v>
      </c>
      <c r="M16" s="18" t="s">
        <v>50</v>
      </c>
      <c r="N16" s="10" t="s">
        <v>51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2">
      <c r="A17" s="10" t="s">
        <v>15</v>
      </c>
      <c r="B17" s="10" t="s">
        <v>16</v>
      </c>
      <c r="C17" s="10" t="s">
        <v>52</v>
      </c>
      <c r="D17" s="10" t="s">
        <v>18</v>
      </c>
      <c r="E17" s="11">
        <v>46289</v>
      </c>
      <c r="F17" s="10">
        <v>2</v>
      </c>
      <c r="G17" s="10">
        <v>2</v>
      </c>
      <c r="H17" s="10">
        <v>7259.84</v>
      </c>
      <c r="I17" s="10">
        <v>7693.98</v>
      </c>
      <c r="J17" s="10">
        <v>7748.25</v>
      </c>
      <c r="K17" s="10">
        <v>0</v>
      </c>
      <c r="L17" s="12" t="s">
        <v>19</v>
      </c>
      <c r="M17" s="18" t="s">
        <v>53</v>
      </c>
      <c r="N17" s="10" t="s">
        <v>54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">
      <c r="A18" s="10" t="s">
        <v>22</v>
      </c>
      <c r="B18" s="10" t="s">
        <v>23</v>
      </c>
      <c r="C18" s="10" t="s">
        <v>52</v>
      </c>
      <c r="D18" s="10" t="s">
        <v>18</v>
      </c>
      <c r="E18" s="11">
        <v>46289</v>
      </c>
      <c r="F18" s="10">
        <v>100</v>
      </c>
      <c r="G18" s="10">
        <v>100</v>
      </c>
      <c r="H18" s="10">
        <v>13846.43</v>
      </c>
      <c r="I18" s="10">
        <v>19604.8</v>
      </c>
      <c r="J18" s="10">
        <v>19730.93</v>
      </c>
      <c r="K18" s="10">
        <v>0</v>
      </c>
      <c r="L18" s="12" t="s">
        <v>19</v>
      </c>
      <c r="M18" s="18" t="s">
        <v>55</v>
      </c>
      <c r="N18" s="10" t="s">
        <v>56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">
      <c r="A19" s="10" t="s">
        <v>15</v>
      </c>
      <c r="B19" s="10" t="s">
        <v>16</v>
      </c>
      <c r="C19" s="21" t="s">
        <v>57</v>
      </c>
      <c r="D19" s="10" t="s">
        <v>58</v>
      </c>
      <c r="E19" s="11">
        <v>46289</v>
      </c>
      <c r="F19" s="21">
        <v>10</v>
      </c>
      <c r="G19" s="21"/>
      <c r="H19" s="15"/>
      <c r="I19" s="15"/>
      <c r="J19" s="15"/>
      <c r="K19" s="21"/>
      <c r="L19" s="22" t="s">
        <v>19</v>
      </c>
      <c r="M19" s="23" t="s">
        <v>59</v>
      </c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">
      <c r="A20" s="10" t="s">
        <v>22</v>
      </c>
      <c r="B20" s="10" t="s">
        <v>23</v>
      </c>
      <c r="C20" s="21" t="s">
        <v>57</v>
      </c>
      <c r="D20" s="10" t="s">
        <v>58</v>
      </c>
      <c r="E20" s="11">
        <v>46289</v>
      </c>
      <c r="F20" s="21">
        <v>1000</v>
      </c>
      <c r="G20" s="21">
        <v>1000</v>
      </c>
      <c r="H20" s="16">
        <v>1884.6</v>
      </c>
      <c r="I20" s="16">
        <v>7308.06</v>
      </c>
      <c r="J20" s="16">
        <v>8719.42</v>
      </c>
      <c r="K20" s="21">
        <v>0</v>
      </c>
      <c r="L20" s="22" t="s">
        <v>19</v>
      </c>
      <c r="M20" s="23" t="s">
        <v>60</v>
      </c>
      <c r="N20" s="10" t="s">
        <v>61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2">
      <c r="A21" s="10" t="s">
        <v>26</v>
      </c>
      <c r="B21" s="10" t="s">
        <v>27</v>
      </c>
      <c r="C21" s="21" t="s">
        <v>57</v>
      </c>
      <c r="D21" s="10" t="s">
        <v>58</v>
      </c>
      <c r="E21" s="11">
        <v>46289</v>
      </c>
      <c r="F21" s="21">
        <v>150</v>
      </c>
      <c r="G21" s="21">
        <v>150</v>
      </c>
      <c r="H21" s="15">
        <v>48.35</v>
      </c>
      <c r="I21" s="15">
        <v>95.19</v>
      </c>
      <c r="J21" s="15">
        <v>105.08</v>
      </c>
      <c r="K21" s="21">
        <v>0.12</v>
      </c>
      <c r="L21" s="22" t="s">
        <v>19</v>
      </c>
      <c r="M21" s="23" t="s">
        <v>62</v>
      </c>
      <c r="N21" s="10" t="s">
        <v>63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</sheetData>
  <dataValidations count="4">
    <dataValidation type="list" allowBlank="1" sqref="L22:L23" xr:uid="{00000000-0002-0000-0000-000000000000}">
      <formula1>"PASS,FAIL,N/A"</formula1>
    </dataValidation>
    <dataValidation type="list" allowBlank="1" sqref="L4:L21" xr:uid="{00000000-0002-0000-0000-000001000000}">
      <formula1>"DONE,TODO"</formula1>
    </dataValidation>
    <dataValidation type="custom" allowBlank="1" showDropDown="1" sqref="E4:E21" xr:uid="{00000000-0002-0000-0000-000002000000}">
      <formula1>OR(NOT(ISERROR(DATEVALUE(E4))), AND(ISNUMBER(E4), LEFT(CELL("format", E4))="D"))</formula1>
    </dataValidation>
    <dataValidation type="list" allowBlank="1" sqref="C4:C21" xr:uid="{00000000-0002-0000-0000-000003000000}">
      <formula1>"login,signup-supporter,creator-individual,creator-juristic,Content,2D,3D,landing"</formula1>
    </dataValidation>
  </dataValidations>
  <hyperlinks>
    <hyperlink ref="M7" r:id="rId1" xr:uid="{00000000-0004-0000-0000-000000000000}"/>
    <hyperlink ref="M8" r:id="rId2" xr:uid="{00000000-0004-0000-0000-000001000000}"/>
    <hyperlink ref="M9" r:id="rId3" xr:uid="{00000000-0004-0000-0000-000002000000}"/>
    <hyperlink ref="M10" r:id="rId4" xr:uid="{00000000-0004-0000-0000-000003000000}"/>
    <hyperlink ref="M11" r:id="rId5" xr:uid="{00000000-0004-0000-0000-000004000000}"/>
    <hyperlink ref="M12" r:id="rId6" xr:uid="{00000000-0004-0000-0000-000005000000}"/>
    <hyperlink ref="M19" r:id="rId7" xr:uid="{00000000-0004-0000-0000-000006000000}"/>
    <hyperlink ref="M20" r:id="rId8" xr:uid="{00000000-0004-0000-0000-000007000000}"/>
    <hyperlink ref="M21" r:id="rId9" xr:uid="{00000000-0004-0000-0000-000008000000}"/>
  </hyperlinks>
  <pageMargins left="0.75" right="0.75" top="1" bottom="1" header="0" footer="0"/>
  <pageSetup orientation="landscape"/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4.5" defaultRowHeight="15" customHeight="1" x14ac:dyDescent="0.2"/>
  <cols>
    <col min="1" max="1" width="18" customWidth="1"/>
    <col min="2" max="2" width="16" customWidth="1"/>
    <col min="3" max="3" width="21.83203125" customWidth="1"/>
    <col min="4" max="5" width="20" customWidth="1"/>
    <col min="6" max="6" width="21" customWidth="1"/>
    <col min="7" max="8" width="16" customWidth="1"/>
    <col min="9" max="9" width="18.5" customWidth="1"/>
    <col min="10" max="12" width="16" customWidth="1"/>
    <col min="13" max="15" width="21" customWidth="1"/>
    <col min="16" max="16" width="26.33203125" customWidth="1"/>
    <col min="17" max="17" width="16" customWidth="1"/>
    <col min="18" max="18" width="45" customWidth="1"/>
    <col min="19" max="20" width="44.5" customWidth="1"/>
    <col min="21" max="24" width="8.6640625" customWidth="1"/>
  </cols>
  <sheetData>
    <row r="1" spans="1:24" ht="20" customHeight="1" x14ac:dyDescent="0.2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2"/>
      <c r="S1" s="5"/>
      <c r="T1" s="2"/>
      <c r="U1" s="6"/>
      <c r="V1" s="6"/>
      <c r="W1" s="6"/>
      <c r="X1" s="6"/>
    </row>
    <row r="2" spans="1:24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6"/>
      <c r="S2" s="6"/>
      <c r="T2" s="6"/>
      <c r="U2" s="6"/>
      <c r="V2" s="6"/>
      <c r="W2" s="6"/>
      <c r="X2" s="6"/>
    </row>
    <row r="3" spans="1:24" ht="22.5" customHeight="1" x14ac:dyDescent="0.2">
      <c r="A3" s="8" t="s">
        <v>1</v>
      </c>
      <c r="B3" s="8" t="s">
        <v>65</v>
      </c>
      <c r="C3" s="8" t="s">
        <v>3</v>
      </c>
      <c r="D3" s="8" t="s">
        <v>6</v>
      </c>
      <c r="E3" s="8" t="s">
        <v>7</v>
      </c>
      <c r="F3" s="8" t="s">
        <v>66</v>
      </c>
      <c r="G3" s="8" t="s">
        <v>8</v>
      </c>
      <c r="H3" s="8" t="s">
        <v>67</v>
      </c>
      <c r="I3" s="8" t="s">
        <v>68</v>
      </c>
      <c r="J3" s="8" t="s">
        <v>69</v>
      </c>
      <c r="K3" s="8" t="s">
        <v>9</v>
      </c>
      <c r="L3" s="8" t="s">
        <v>10</v>
      </c>
      <c r="M3" s="8" t="s">
        <v>11</v>
      </c>
      <c r="N3" s="8" t="s">
        <v>70</v>
      </c>
      <c r="O3" s="8" t="s">
        <v>71</v>
      </c>
      <c r="P3" s="8" t="s">
        <v>72</v>
      </c>
      <c r="Q3" s="8" t="s">
        <v>12</v>
      </c>
      <c r="R3" s="9" t="s">
        <v>73</v>
      </c>
      <c r="S3" s="8" t="s">
        <v>74</v>
      </c>
      <c r="T3" s="9" t="s">
        <v>75</v>
      </c>
      <c r="U3" s="6"/>
      <c r="V3" s="6"/>
      <c r="W3" s="6"/>
      <c r="X3" s="6"/>
    </row>
    <row r="4" spans="1:24" ht="30" customHeight="1" x14ac:dyDescent="0.2">
      <c r="A4" s="10" t="s">
        <v>15</v>
      </c>
      <c r="B4" s="10" t="s">
        <v>16</v>
      </c>
      <c r="C4" s="10" t="s">
        <v>17</v>
      </c>
      <c r="D4" s="10">
        <v>10</v>
      </c>
      <c r="E4" s="10">
        <v>10</v>
      </c>
      <c r="F4" s="10">
        <v>10</v>
      </c>
      <c r="G4" s="10">
        <v>234.46</v>
      </c>
      <c r="H4" s="10">
        <v>131.97999999999999</v>
      </c>
      <c r="I4" s="10">
        <v>247.78</v>
      </c>
      <c r="J4" s="10">
        <v>380.04</v>
      </c>
      <c r="K4" s="10">
        <v>305.83999999999997</v>
      </c>
      <c r="L4" s="10">
        <v>342.94</v>
      </c>
      <c r="M4" s="10">
        <v>0</v>
      </c>
      <c r="N4" s="10">
        <v>10</v>
      </c>
      <c r="O4" s="10">
        <v>0</v>
      </c>
      <c r="P4" s="14">
        <f t="shared" ref="P4:P18" si="0">IF((N4+O4)=0,"",N4/(N4+O4))</f>
        <v>1</v>
      </c>
      <c r="Q4" s="12" t="s">
        <v>19</v>
      </c>
      <c r="R4" s="10" t="s">
        <v>76</v>
      </c>
      <c r="S4" s="10"/>
      <c r="T4" s="10"/>
      <c r="U4" s="6"/>
      <c r="V4" s="6"/>
      <c r="W4" s="6"/>
      <c r="X4" s="6"/>
    </row>
    <row r="5" spans="1:24" ht="30" customHeight="1" x14ac:dyDescent="0.2">
      <c r="A5" s="10" t="s">
        <v>22</v>
      </c>
      <c r="B5" s="10" t="s">
        <v>23</v>
      </c>
      <c r="C5" s="10" t="s">
        <v>17</v>
      </c>
      <c r="D5" s="10">
        <v>1000</v>
      </c>
      <c r="E5" s="10">
        <v>1000</v>
      </c>
      <c r="F5" s="10">
        <v>1000</v>
      </c>
      <c r="G5" s="10">
        <v>11239.31</v>
      </c>
      <c r="H5" s="10">
        <v>488.74</v>
      </c>
      <c r="I5" s="10">
        <v>11070.11</v>
      </c>
      <c r="J5" s="10">
        <v>20392.349999999999</v>
      </c>
      <c r="K5" s="10">
        <v>18710.73</v>
      </c>
      <c r="L5" s="10">
        <v>19591.97</v>
      </c>
      <c r="M5" s="10">
        <v>0</v>
      </c>
      <c r="N5" s="10">
        <v>1000</v>
      </c>
      <c r="O5" s="10">
        <v>0</v>
      </c>
      <c r="P5" s="14">
        <f t="shared" si="0"/>
        <v>1</v>
      </c>
      <c r="Q5" s="12" t="s">
        <v>19</v>
      </c>
      <c r="R5" s="10" t="s">
        <v>77</v>
      </c>
      <c r="S5" s="10"/>
      <c r="T5" s="10"/>
      <c r="U5" s="6"/>
      <c r="V5" s="6"/>
      <c r="W5" s="6"/>
      <c r="X5" s="6"/>
    </row>
    <row r="6" spans="1:24" ht="30" customHeight="1" x14ac:dyDescent="0.2">
      <c r="A6" s="10" t="s">
        <v>26</v>
      </c>
      <c r="B6" s="10" t="s">
        <v>27</v>
      </c>
      <c r="C6" s="10" t="s">
        <v>17</v>
      </c>
      <c r="D6" s="10">
        <v>93</v>
      </c>
      <c r="E6" s="10">
        <v>93</v>
      </c>
      <c r="F6" s="10">
        <v>6000</v>
      </c>
      <c r="G6" s="10">
        <v>176.72</v>
      </c>
      <c r="H6" s="10">
        <v>136.27000000000001</v>
      </c>
      <c r="I6" s="10">
        <v>161.63</v>
      </c>
      <c r="J6" s="10">
        <v>611.86</v>
      </c>
      <c r="K6" s="10">
        <v>257.86</v>
      </c>
      <c r="L6" s="10">
        <v>270.39999999999998</v>
      </c>
      <c r="M6" s="10">
        <v>0</v>
      </c>
      <c r="N6" s="10">
        <v>6000</v>
      </c>
      <c r="O6" s="10">
        <v>0</v>
      </c>
      <c r="P6" s="14">
        <f t="shared" si="0"/>
        <v>1</v>
      </c>
      <c r="Q6" s="12" t="s">
        <v>19</v>
      </c>
      <c r="R6" s="10" t="s">
        <v>78</v>
      </c>
      <c r="S6" s="10"/>
      <c r="T6" s="10"/>
      <c r="U6" s="6"/>
      <c r="V6" s="6"/>
      <c r="W6" s="6"/>
      <c r="X6" s="6"/>
    </row>
    <row r="7" spans="1:24" ht="30" hidden="1" customHeight="1" x14ac:dyDescent="0.2">
      <c r="A7" s="17" t="s">
        <v>15</v>
      </c>
      <c r="B7" s="10" t="s">
        <v>16</v>
      </c>
      <c r="C7" s="10" t="s">
        <v>30</v>
      </c>
      <c r="D7" s="10">
        <v>10</v>
      </c>
      <c r="E7" s="10">
        <v>10</v>
      </c>
      <c r="F7" s="10">
        <v>20</v>
      </c>
      <c r="G7" s="10">
        <v>811.77</v>
      </c>
      <c r="H7" s="10">
        <v>29.05</v>
      </c>
      <c r="I7" s="10">
        <v>865.54</v>
      </c>
      <c r="J7" s="10">
        <v>1725.66</v>
      </c>
      <c r="K7" s="10">
        <v>1719.62</v>
      </c>
      <c r="L7" s="10">
        <v>1722.45</v>
      </c>
      <c r="M7" s="10">
        <v>0</v>
      </c>
      <c r="N7" s="10">
        <v>20</v>
      </c>
      <c r="O7" s="10">
        <v>0</v>
      </c>
      <c r="P7" s="14">
        <f t="shared" si="0"/>
        <v>1</v>
      </c>
      <c r="Q7" s="12" t="s">
        <v>19</v>
      </c>
      <c r="R7" s="10" t="s">
        <v>79</v>
      </c>
      <c r="S7" s="10" t="s">
        <v>80</v>
      </c>
      <c r="T7" s="10"/>
      <c r="U7" s="6"/>
      <c r="V7" s="6"/>
      <c r="W7" s="6"/>
      <c r="X7" s="6"/>
    </row>
    <row r="8" spans="1:24" ht="30" hidden="1" customHeight="1" x14ac:dyDescent="0.2">
      <c r="A8" s="17" t="s">
        <v>22</v>
      </c>
      <c r="B8" s="10" t="s">
        <v>23</v>
      </c>
      <c r="C8" s="10" t="s">
        <v>30</v>
      </c>
      <c r="D8" s="10">
        <v>1000</v>
      </c>
      <c r="E8" s="10">
        <v>250</v>
      </c>
      <c r="F8" s="10">
        <v>500</v>
      </c>
      <c r="G8" s="10">
        <v>9618.1</v>
      </c>
      <c r="H8" s="10">
        <v>21.82</v>
      </c>
      <c r="I8" s="10">
        <v>9122.1200000000008</v>
      </c>
      <c r="J8" s="10">
        <v>21232.39</v>
      </c>
      <c r="K8" s="10">
        <v>19949.669999999998</v>
      </c>
      <c r="L8" s="10">
        <v>20974.17</v>
      </c>
      <c r="M8" s="10">
        <v>0</v>
      </c>
      <c r="N8" s="10">
        <v>500</v>
      </c>
      <c r="O8" s="10">
        <v>0</v>
      </c>
      <c r="P8" s="14">
        <f t="shared" si="0"/>
        <v>1</v>
      </c>
      <c r="Q8" s="12" t="s">
        <v>19</v>
      </c>
      <c r="R8" s="10" t="s">
        <v>81</v>
      </c>
      <c r="S8" s="10" t="s">
        <v>82</v>
      </c>
      <c r="T8" s="10" t="s">
        <v>83</v>
      </c>
      <c r="U8" s="6"/>
      <c r="V8" s="6"/>
      <c r="W8" s="6"/>
      <c r="X8" s="6"/>
    </row>
    <row r="9" spans="1:24" ht="30" hidden="1" customHeight="1" x14ac:dyDescent="0.2">
      <c r="A9" s="17" t="s">
        <v>26</v>
      </c>
      <c r="B9" s="10" t="s">
        <v>27</v>
      </c>
      <c r="C9" s="10" t="s">
        <v>30</v>
      </c>
      <c r="D9" s="10">
        <v>115</v>
      </c>
      <c r="E9" s="10">
        <v>115</v>
      </c>
      <c r="F9" s="10">
        <v>11872</v>
      </c>
      <c r="G9" s="10">
        <v>803.74</v>
      </c>
      <c r="H9" s="10">
        <v>15.79</v>
      </c>
      <c r="I9" s="10">
        <v>318.02</v>
      </c>
      <c r="J9" s="10">
        <v>15430.67</v>
      </c>
      <c r="K9" s="10">
        <v>1184.21</v>
      </c>
      <c r="L9" s="10">
        <v>3803.12</v>
      </c>
      <c r="M9" s="20">
        <v>0</v>
      </c>
      <c r="N9" s="10">
        <v>11872</v>
      </c>
      <c r="O9" s="10">
        <v>0</v>
      </c>
      <c r="P9" s="14">
        <f t="shared" si="0"/>
        <v>1</v>
      </c>
      <c r="Q9" s="12" t="s">
        <v>19</v>
      </c>
      <c r="R9" s="10" t="s">
        <v>84</v>
      </c>
      <c r="S9" s="10" t="s">
        <v>85</v>
      </c>
      <c r="T9" s="10"/>
      <c r="U9" s="6"/>
      <c r="V9" s="6"/>
      <c r="W9" s="6"/>
      <c r="X9" s="6"/>
    </row>
    <row r="10" spans="1:24" ht="30" hidden="1" customHeight="1" x14ac:dyDescent="0.2">
      <c r="A10" s="17" t="s">
        <v>15</v>
      </c>
      <c r="B10" s="10" t="s">
        <v>16</v>
      </c>
      <c r="C10" s="10" t="s">
        <v>36</v>
      </c>
      <c r="D10" s="10">
        <v>10</v>
      </c>
      <c r="E10" s="10">
        <v>10</v>
      </c>
      <c r="F10" s="10">
        <v>20</v>
      </c>
      <c r="G10" s="10">
        <v>741.59</v>
      </c>
      <c r="H10" s="10">
        <v>19.670000000000002</v>
      </c>
      <c r="I10" s="10">
        <v>780.71</v>
      </c>
      <c r="J10" s="10">
        <v>1547.55</v>
      </c>
      <c r="K10" s="10">
        <v>1520.19</v>
      </c>
      <c r="L10" s="10">
        <v>1521.57</v>
      </c>
      <c r="M10" s="10">
        <v>0</v>
      </c>
      <c r="N10" s="10">
        <v>20</v>
      </c>
      <c r="O10" s="10">
        <v>0</v>
      </c>
      <c r="P10" s="14">
        <f t="shared" si="0"/>
        <v>1</v>
      </c>
      <c r="Q10" s="12" t="s">
        <v>19</v>
      </c>
      <c r="R10" s="10" t="s">
        <v>79</v>
      </c>
      <c r="S10" s="10" t="s">
        <v>86</v>
      </c>
      <c r="T10" s="10"/>
      <c r="U10" s="6"/>
      <c r="V10" s="6"/>
      <c r="W10" s="6"/>
      <c r="X10" s="6"/>
    </row>
    <row r="11" spans="1:24" ht="30" hidden="1" customHeight="1" x14ac:dyDescent="0.2">
      <c r="A11" s="17" t="s">
        <v>22</v>
      </c>
      <c r="B11" s="10" t="s">
        <v>23</v>
      </c>
      <c r="C11" s="10" t="s">
        <v>36</v>
      </c>
      <c r="D11" s="10">
        <v>1000</v>
      </c>
      <c r="E11" s="10">
        <v>250</v>
      </c>
      <c r="F11" s="10">
        <v>500</v>
      </c>
      <c r="G11" s="10">
        <v>9751.94</v>
      </c>
      <c r="H11" s="10">
        <v>19.72</v>
      </c>
      <c r="I11" s="10">
        <v>9226.67</v>
      </c>
      <c r="J11" s="10">
        <v>22215.55</v>
      </c>
      <c r="K11" s="10">
        <v>19410.740000000002</v>
      </c>
      <c r="L11" s="10">
        <v>21226.11</v>
      </c>
      <c r="M11" s="10">
        <v>0</v>
      </c>
      <c r="N11" s="10">
        <v>500</v>
      </c>
      <c r="O11" s="10">
        <v>0</v>
      </c>
      <c r="P11" s="14">
        <f t="shared" si="0"/>
        <v>1</v>
      </c>
      <c r="Q11" s="12" t="s">
        <v>19</v>
      </c>
      <c r="R11" s="10" t="s">
        <v>81</v>
      </c>
      <c r="S11" s="10" t="s">
        <v>87</v>
      </c>
      <c r="T11" s="10" t="s">
        <v>88</v>
      </c>
      <c r="U11" s="6"/>
      <c r="V11" s="6"/>
      <c r="W11" s="6"/>
      <c r="X11" s="6"/>
    </row>
    <row r="12" spans="1:24" ht="30" hidden="1" customHeight="1" x14ac:dyDescent="0.2">
      <c r="A12" s="17" t="s">
        <v>26</v>
      </c>
      <c r="B12" s="10" t="s">
        <v>27</v>
      </c>
      <c r="C12" s="10" t="s">
        <v>36</v>
      </c>
      <c r="D12" s="10">
        <v>117</v>
      </c>
      <c r="E12" s="10">
        <v>117</v>
      </c>
      <c r="F12" s="10">
        <v>11868</v>
      </c>
      <c r="G12" s="10">
        <v>791.8</v>
      </c>
      <c r="H12" s="10">
        <v>16.38</v>
      </c>
      <c r="I12" s="10">
        <v>340.13</v>
      </c>
      <c r="J12" s="10">
        <v>13816.85</v>
      </c>
      <c r="K12" s="10">
        <v>1581.27</v>
      </c>
      <c r="L12" s="10">
        <v>3448.34</v>
      </c>
      <c r="M12" s="20">
        <v>0</v>
      </c>
      <c r="N12" s="10">
        <v>11868</v>
      </c>
      <c r="O12" s="10">
        <v>0</v>
      </c>
      <c r="P12" s="14">
        <f t="shared" si="0"/>
        <v>1</v>
      </c>
      <c r="Q12" s="12" t="s">
        <v>19</v>
      </c>
      <c r="R12" s="10" t="s">
        <v>84</v>
      </c>
      <c r="S12" s="10" t="s">
        <v>89</v>
      </c>
      <c r="T12" s="10"/>
      <c r="U12" s="6"/>
      <c r="V12" s="6"/>
      <c r="W12" s="6"/>
      <c r="X12" s="6"/>
    </row>
    <row r="13" spans="1:24" ht="30" customHeight="1" x14ac:dyDescent="0.2">
      <c r="A13" s="10" t="s">
        <v>15</v>
      </c>
      <c r="B13" s="10" t="s">
        <v>16</v>
      </c>
      <c r="C13" s="10" t="s">
        <v>57</v>
      </c>
      <c r="D13" s="10">
        <v>10</v>
      </c>
      <c r="E13" s="10">
        <v>10</v>
      </c>
      <c r="F13" s="10">
        <v>30</v>
      </c>
      <c r="G13" s="10">
        <v>99.24</v>
      </c>
      <c r="H13" s="10">
        <v>19.3</v>
      </c>
      <c r="I13" s="10">
        <v>95.9</v>
      </c>
      <c r="J13" s="10">
        <v>209</v>
      </c>
      <c r="K13" s="10">
        <v>208.86</v>
      </c>
      <c r="L13" s="10">
        <v>208.92</v>
      </c>
      <c r="M13" s="10">
        <v>0</v>
      </c>
      <c r="N13" s="10">
        <v>10</v>
      </c>
      <c r="O13" s="10">
        <v>0</v>
      </c>
      <c r="P13" s="14">
        <f t="shared" si="0"/>
        <v>1</v>
      </c>
      <c r="Q13" s="12" t="s">
        <v>19</v>
      </c>
      <c r="R13" s="10" t="s">
        <v>79</v>
      </c>
      <c r="S13" s="10" t="s">
        <v>90</v>
      </c>
      <c r="T13" s="10"/>
      <c r="U13" s="6"/>
      <c r="V13" s="6"/>
      <c r="W13" s="6"/>
      <c r="X13" s="6"/>
    </row>
    <row r="14" spans="1:24" ht="30" customHeight="1" x14ac:dyDescent="0.2">
      <c r="A14" s="10" t="s">
        <v>22</v>
      </c>
      <c r="B14" s="10" t="s">
        <v>23</v>
      </c>
      <c r="C14" s="10" t="s">
        <v>57</v>
      </c>
      <c r="D14" s="10">
        <v>1000</v>
      </c>
      <c r="E14" s="10">
        <v>1000</v>
      </c>
      <c r="F14" s="10">
        <v>3000</v>
      </c>
      <c r="G14" s="10">
        <v>1884.6</v>
      </c>
      <c r="H14" s="10">
        <v>18.09</v>
      </c>
      <c r="I14" s="10">
        <v>415.91</v>
      </c>
      <c r="J14" s="10">
        <v>10521.64</v>
      </c>
      <c r="K14" s="10">
        <v>7308.06</v>
      </c>
      <c r="L14" s="10">
        <v>8719.42</v>
      </c>
      <c r="M14" s="10">
        <v>0</v>
      </c>
      <c r="N14" s="10">
        <v>1000</v>
      </c>
      <c r="O14" s="10">
        <v>0</v>
      </c>
      <c r="P14" s="14">
        <f t="shared" si="0"/>
        <v>1</v>
      </c>
      <c r="Q14" s="12" t="s">
        <v>19</v>
      </c>
      <c r="R14" s="10" t="s">
        <v>77</v>
      </c>
      <c r="S14" s="10" t="s">
        <v>91</v>
      </c>
      <c r="T14" s="10"/>
      <c r="U14" s="6"/>
      <c r="V14" s="6"/>
      <c r="W14" s="6"/>
      <c r="X14" s="6"/>
    </row>
    <row r="15" spans="1:24" ht="30" customHeight="1" x14ac:dyDescent="0.2">
      <c r="A15" s="10" t="s">
        <v>26</v>
      </c>
      <c r="B15" s="10" t="s">
        <v>27</v>
      </c>
      <c r="C15" s="10" t="s">
        <v>57</v>
      </c>
      <c r="D15" s="10">
        <v>150</v>
      </c>
      <c r="E15" s="10">
        <v>150</v>
      </c>
      <c r="F15" s="10">
        <v>35976</v>
      </c>
      <c r="G15" s="10">
        <v>48.35</v>
      </c>
      <c r="H15" s="10">
        <v>13.86</v>
      </c>
      <c r="I15" s="10">
        <v>26.43</v>
      </c>
      <c r="J15" s="10">
        <v>10203.61</v>
      </c>
      <c r="K15" s="10">
        <v>95.19</v>
      </c>
      <c r="L15" s="10">
        <v>105.08</v>
      </c>
      <c r="M15" s="10">
        <v>0.12</v>
      </c>
      <c r="N15" s="10">
        <v>11957</v>
      </c>
      <c r="O15" s="10">
        <v>44</v>
      </c>
      <c r="P15" s="14">
        <f t="shared" si="0"/>
        <v>0.99633363886342807</v>
      </c>
      <c r="Q15" s="12" t="s">
        <v>19</v>
      </c>
      <c r="R15" s="10" t="s">
        <v>92</v>
      </c>
      <c r="S15" s="10" t="s">
        <v>93</v>
      </c>
      <c r="T15" s="10"/>
      <c r="U15" s="6"/>
      <c r="V15" s="6"/>
      <c r="W15" s="6"/>
      <c r="X15" s="6"/>
    </row>
    <row r="16" spans="1:24" ht="16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4" t="str">
        <f t="shared" si="0"/>
        <v/>
      </c>
      <c r="Q16" s="12"/>
      <c r="R16" s="10"/>
      <c r="S16" s="10"/>
      <c r="T16" s="10"/>
      <c r="U16" s="6"/>
      <c r="V16" s="6"/>
      <c r="W16" s="6"/>
      <c r="X16" s="6"/>
    </row>
    <row r="17" spans="1:24" ht="16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4" t="str">
        <f t="shared" si="0"/>
        <v/>
      </c>
      <c r="Q17" s="12"/>
      <c r="R17" s="10"/>
      <c r="S17" s="10"/>
      <c r="T17" s="10"/>
      <c r="U17" s="6"/>
      <c r="V17" s="6"/>
      <c r="W17" s="6"/>
      <c r="X17" s="6"/>
    </row>
    <row r="18" spans="1:24" ht="16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4" t="str">
        <f t="shared" si="0"/>
        <v/>
      </c>
      <c r="Q18" s="12"/>
      <c r="R18" s="10"/>
      <c r="S18" s="10"/>
      <c r="T18" s="10"/>
      <c r="U18" s="6"/>
      <c r="V18" s="6"/>
      <c r="W18" s="6"/>
      <c r="X18" s="6"/>
    </row>
  </sheetData>
  <dataValidations count="4">
    <dataValidation type="list" allowBlank="1" sqref="Q16:Q18" xr:uid="{00000000-0002-0000-0100-000000000000}">
      <formula1>"PASS,FAIL,N/A"</formula1>
    </dataValidation>
    <dataValidation type="list" allowBlank="1" sqref="Q4:Q15" xr:uid="{00000000-0002-0000-0100-000001000000}">
      <formula1>"DONE,TODO"</formula1>
    </dataValidation>
    <dataValidation type="list" allowBlank="1" showDropDown="1" showErrorMessage="1" sqref="C4:C12" xr:uid="{00000000-0002-0000-0100-000002000000}">
      <formula1>"login,signup-supporter,creator-individual,creator-juristic"</formula1>
    </dataValidation>
    <dataValidation type="list" allowBlank="1" showErrorMessage="1" sqref="C13:C15" xr:uid="{00000000-0002-0000-0100-000003000000}">
      <formula1>"login,signup-supporter,creator-individual,creator-juristic,landing"</formula1>
    </dataValidation>
  </dataValidations>
  <pageMargins left="0.75" right="0.75" top="1" bottom="1" header="0" footer="0"/>
  <pageSetup orientation="landscape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4.5" defaultRowHeight="15" customHeight="1" x14ac:dyDescent="0.2"/>
  <cols>
    <col min="1" max="1" width="19" customWidth="1"/>
    <col min="2" max="2" width="16" customWidth="1"/>
    <col min="3" max="3" width="17.1640625" customWidth="1"/>
    <col min="4" max="4" width="22" customWidth="1"/>
    <col min="5" max="5" width="17.5" customWidth="1"/>
    <col min="6" max="6" width="25.5" customWidth="1"/>
    <col min="7" max="7" width="19.1640625" customWidth="1"/>
    <col min="8" max="8" width="20" customWidth="1"/>
    <col min="9" max="11" width="16" customWidth="1"/>
    <col min="12" max="12" width="29.33203125" customWidth="1"/>
    <col min="13" max="13" width="22.5" customWidth="1"/>
    <col min="14" max="15" width="43.83203125" customWidth="1"/>
    <col min="16" max="22" width="8.6640625" customWidth="1"/>
  </cols>
  <sheetData>
    <row r="1" spans="1:22" ht="20" customHeight="1" x14ac:dyDescent="0.2">
      <c r="A1" s="1" t="s">
        <v>94</v>
      </c>
      <c r="B1" s="2"/>
      <c r="C1" s="3"/>
      <c r="D1" s="3" t="s">
        <v>95</v>
      </c>
      <c r="E1" s="2"/>
      <c r="F1" s="2"/>
      <c r="G1" s="2"/>
      <c r="H1" s="2"/>
      <c r="I1" s="2"/>
      <c r="J1" s="2"/>
      <c r="K1" s="2"/>
      <c r="L1" s="2"/>
      <c r="M1" s="4"/>
      <c r="N1" s="2"/>
      <c r="O1" s="5"/>
      <c r="P1" s="6"/>
      <c r="Q1" s="6"/>
      <c r="R1" s="6"/>
      <c r="S1" s="6"/>
      <c r="T1" s="6"/>
      <c r="U1" s="6"/>
      <c r="V1" s="6"/>
    </row>
    <row r="2" spans="1:2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6"/>
      <c r="Q2" s="6"/>
      <c r="R2" s="6"/>
      <c r="S2" s="6"/>
      <c r="T2" s="6"/>
      <c r="U2" s="6"/>
      <c r="V2" s="6"/>
    </row>
    <row r="3" spans="1:22" ht="22.5" customHeight="1" x14ac:dyDescent="0.2">
      <c r="A3" s="8" t="s">
        <v>1</v>
      </c>
      <c r="B3" s="8" t="s">
        <v>65</v>
      </c>
      <c r="C3" s="8" t="s">
        <v>96</v>
      </c>
      <c r="D3" s="8" t="s">
        <v>6</v>
      </c>
      <c r="E3" s="8" t="s">
        <v>7</v>
      </c>
      <c r="F3" s="8" t="s">
        <v>97</v>
      </c>
      <c r="G3" s="8" t="s">
        <v>98</v>
      </c>
      <c r="H3" s="8" t="s">
        <v>11</v>
      </c>
      <c r="I3" s="8" t="s">
        <v>8</v>
      </c>
      <c r="J3" s="8" t="s">
        <v>9</v>
      </c>
      <c r="K3" s="8" t="s">
        <v>10</v>
      </c>
      <c r="L3" s="8" t="s">
        <v>99</v>
      </c>
      <c r="M3" s="8" t="s">
        <v>12</v>
      </c>
      <c r="N3" s="8" t="s">
        <v>74</v>
      </c>
      <c r="O3" s="8" t="s">
        <v>75</v>
      </c>
      <c r="P3" s="6"/>
      <c r="Q3" s="6"/>
      <c r="R3" s="6"/>
      <c r="S3" s="6"/>
      <c r="T3" s="6"/>
      <c r="U3" s="6"/>
      <c r="V3" s="6"/>
    </row>
    <row r="4" spans="1:22" ht="60" customHeight="1" x14ac:dyDescent="0.2">
      <c r="A4" s="10" t="s">
        <v>15</v>
      </c>
      <c r="B4" s="10" t="s">
        <v>16</v>
      </c>
      <c r="C4" s="10" t="s">
        <v>42</v>
      </c>
      <c r="D4" s="10">
        <v>2</v>
      </c>
      <c r="E4" s="10">
        <v>2</v>
      </c>
      <c r="F4" s="10">
        <v>2</v>
      </c>
      <c r="G4" s="10">
        <v>2</v>
      </c>
      <c r="H4" s="10">
        <v>0</v>
      </c>
      <c r="I4" s="10">
        <v>1839.18</v>
      </c>
      <c r="J4" s="10">
        <v>1839.22</v>
      </c>
      <c r="K4" s="10">
        <v>1839.22</v>
      </c>
      <c r="L4" s="14">
        <f t="shared" ref="L4:L17" si="0">IF(F4=0,"",G4/F4)</f>
        <v>1</v>
      </c>
      <c r="M4" s="12" t="s">
        <v>19</v>
      </c>
      <c r="N4" s="10"/>
      <c r="O4" s="10"/>
      <c r="P4" s="6"/>
      <c r="Q4" s="6"/>
      <c r="R4" s="6"/>
      <c r="S4" s="6"/>
      <c r="T4" s="6"/>
      <c r="U4" s="6"/>
      <c r="V4" s="6"/>
    </row>
    <row r="5" spans="1:22" ht="60" customHeight="1" x14ac:dyDescent="0.2">
      <c r="A5" s="10" t="s">
        <v>22</v>
      </c>
      <c r="B5" s="10" t="s">
        <v>23</v>
      </c>
      <c r="C5" s="10" t="s">
        <v>42</v>
      </c>
      <c r="D5" s="10">
        <v>100</v>
      </c>
      <c r="E5" s="10">
        <v>100</v>
      </c>
      <c r="F5" s="10">
        <v>100</v>
      </c>
      <c r="G5" s="10">
        <v>100</v>
      </c>
      <c r="H5" s="10">
        <v>0</v>
      </c>
      <c r="I5" s="10">
        <v>4148.34</v>
      </c>
      <c r="J5" s="10">
        <v>5241.24</v>
      </c>
      <c r="K5" s="10">
        <v>6187.73</v>
      </c>
      <c r="L5" s="14">
        <f t="shared" si="0"/>
        <v>1</v>
      </c>
      <c r="M5" s="12" t="s">
        <v>19</v>
      </c>
      <c r="N5" s="10"/>
      <c r="O5" s="10"/>
      <c r="P5" s="6"/>
      <c r="Q5" s="6"/>
      <c r="R5" s="6"/>
      <c r="S5" s="6"/>
      <c r="T5" s="6"/>
      <c r="U5" s="6"/>
      <c r="V5" s="6"/>
    </row>
    <row r="6" spans="1:22" ht="60" customHeight="1" x14ac:dyDescent="0.2">
      <c r="A6" s="10" t="s">
        <v>15</v>
      </c>
      <c r="B6" s="10" t="s">
        <v>16</v>
      </c>
      <c r="C6" s="10" t="s">
        <v>47</v>
      </c>
      <c r="D6" s="10">
        <v>2</v>
      </c>
      <c r="E6" s="10">
        <v>2</v>
      </c>
      <c r="F6" s="10">
        <v>2</v>
      </c>
      <c r="G6" s="10">
        <v>2</v>
      </c>
      <c r="H6" s="10">
        <v>0</v>
      </c>
      <c r="I6" s="10">
        <v>2570.6</v>
      </c>
      <c r="J6" s="10">
        <v>2677.11</v>
      </c>
      <c r="K6" s="10">
        <v>2690.43</v>
      </c>
      <c r="L6" s="14">
        <f t="shared" si="0"/>
        <v>1</v>
      </c>
      <c r="M6" s="12" t="s">
        <v>19</v>
      </c>
      <c r="N6" s="10"/>
      <c r="O6" s="10"/>
      <c r="P6" s="6"/>
      <c r="Q6" s="6"/>
      <c r="R6" s="6"/>
      <c r="S6" s="6"/>
      <c r="T6" s="6"/>
      <c r="U6" s="6"/>
      <c r="V6" s="6"/>
    </row>
    <row r="7" spans="1:22" ht="60" customHeight="1" x14ac:dyDescent="0.2">
      <c r="A7" s="10" t="s">
        <v>22</v>
      </c>
      <c r="B7" s="10" t="s">
        <v>23</v>
      </c>
      <c r="C7" s="10" t="s">
        <v>47</v>
      </c>
      <c r="D7" s="10">
        <v>100</v>
      </c>
      <c r="E7" s="10">
        <v>100</v>
      </c>
      <c r="F7" s="10">
        <v>100</v>
      </c>
      <c r="G7" s="10">
        <v>100</v>
      </c>
      <c r="H7" s="10">
        <v>0</v>
      </c>
      <c r="I7" s="10">
        <v>10579.36</v>
      </c>
      <c r="J7" s="10">
        <v>14391.08</v>
      </c>
      <c r="K7" s="10">
        <v>14616.33</v>
      </c>
      <c r="L7" s="14">
        <f t="shared" si="0"/>
        <v>1</v>
      </c>
      <c r="M7" s="12" t="s">
        <v>19</v>
      </c>
      <c r="N7" s="10"/>
      <c r="O7" s="10"/>
      <c r="P7" s="6"/>
      <c r="Q7" s="6"/>
      <c r="R7" s="6"/>
      <c r="S7" s="6"/>
      <c r="T7" s="6"/>
      <c r="U7" s="6"/>
      <c r="V7" s="6"/>
    </row>
    <row r="8" spans="1:22" ht="60" customHeight="1" x14ac:dyDescent="0.2">
      <c r="A8" s="10" t="s">
        <v>15</v>
      </c>
      <c r="B8" s="10" t="s">
        <v>16</v>
      </c>
      <c r="C8" s="10" t="s">
        <v>52</v>
      </c>
      <c r="D8" s="10">
        <v>2</v>
      </c>
      <c r="E8" s="10">
        <v>2</v>
      </c>
      <c r="F8" s="10">
        <v>2</v>
      </c>
      <c r="G8" s="10">
        <v>2</v>
      </c>
      <c r="H8" s="10">
        <v>0</v>
      </c>
      <c r="I8" s="10">
        <v>7259.84</v>
      </c>
      <c r="J8" s="10">
        <v>7693.98</v>
      </c>
      <c r="K8" s="10">
        <v>7748.25</v>
      </c>
      <c r="L8" s="14">
        <f t="shared" si="0"/>
        <v>1</v>
      </c>
      <c r="M8" s="12" t="s">
        <v>19</v>
      </c>
      <c r="N8" s="10"/>
      <c r="O8" s="10"/>
      <c r="P8" s="6"/>
      <c r="Q8" s="6"/>
      <c r="R8" s="6"/>
      <c r="S8" s="6"/>
      <c r="T8" s="6"/>
      <c r="U8" s="6"/>
      <c r="V8" s="6"/>
    </row>
    <row r="9" spans="1:22" ht="60" customHeight="1" x14ac:dyDescent="0.2">
      <c r="A9" s="10" t="s">
        <v>22</v>
      </c>
      <c r="B9" s="10" t="s">
        <v>23</v>
      </c>
      <c r="C9" s="10" t="s">
        <v>52</v>
      </c>
      <c r="D9" s="10">
        <v>100</v>
      </c>
      <c r="E9" s="10">
        <v>100</v>
      </c>
      <c r="F9" s="10">
        <v>100</v>
      </c>
      <c r="G9" s="10">
        <v>100</v>
      </c>
      <c r="H9" s="10">
        <v>0</v>
      </c>
      <c r="I9" s="10">
        <v>13846.43</v>
      </c>
      <c r="J9" s="10">
        <v>19604.8</v>
      </c>
      <c r="K9" s="10">
        <v>19730.93</v>
      </c>
      <c r="L9" s="14">
        <f t="shared" si="0"/>
        <v>1</v>
      </c>
      <c r="M9" s="12" t="s">
        <v>19</v>
      </c>
      <c r="N9" s="10"/>
      <c r="O9" s="10"/>
      <c r="P9" s="6"/>
      <c r="Q9" s="6"/>
      <c r="R9" s="6"/>
      <c r="S9" s="6"/>
      <c r="T9" s="6"/>
      <c r="U9" s="6"/>
      <c r="V9" s="6"/>
    </row>
    <row r="10" spans="1:22" ht="16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4" t="str">
        <f t="shared" si="0"/>
        <v/>
      </c>
      <c r="M10" s="12"/>
      <c r="N10" s="10"/>
      <c r="O10" s="10"/>
      <c r="P10" s="6"/>
      <c r="Q10" s="6"/>
      <c r="R10" s="6"/>
      <c r="S10" s="6"/>
      <c r="T10" s="6"/>
      <c r="U10" s="6"/>
      <c r="V10" s="6"/>
    </row>
    <row r="11" spans="1:22" ht="16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4" t="str">
        <f t="shared" si="0"/>
        <v/>
      </c>
      <c r="M11" s="12"/>
      <c r="N11" s="10"/>
      <c r="O11" s="10"/>
      <c r="P11" s="6"/>
      <c r="Q11" s="6"/>
      <c r="R11" s="6"/>
      <c r="S11" s="6"/>
      <c r="T11" s="6"/>
      <c r="U11" s="6"/>
      <c r="V11" s="6"/>
    </row>
    <row r="12" spans="1:22" ht="15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4" t="str">
        <f t="shared" si="0"/>
        <v/>
      </c>
      <c r="M12" s="12"/>
      <c r="N12" s="10"/>
      <c r="O12" s="10"/>
      <c r="P12" s="6"/>
      <c r="Q12" s="6"/>
      <c r="R12" s="6"/>
      <c r="S12" s="6"/>
      <c r="T12" s="6"/>
      <c r="U12" s="6"/>
      <c r="V12" s="6"/>
    </row>
    <row r="13" spans="1:22" ht="15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4" t="str">
        <f t="shared" si="0"/>
        <v/>
      </c>
      <c r="M13" s="12"/>
      <c r="N13" s="10"/>
      <c r="O13" s="10"/>
      <c r="P13" s="6"/>
      <c r="Q13" s="6"/>
      <c r="R13" s="6"/>
      <c r="S13" s="6"/>
      <c r="T13" s="6"/>
      <c r="U13" s="6"/>
      <c r="V13" s="6"/>
    </row>
    <row r="14" spans="1:22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4" t="str">
        <f t="shared" si="0"/>
        <v/>
      </c>
      <c r="M14" s="12"/>
      <c r="N14" s="10"/>
      <c r="O14" s="10"/>
      <c r="P14" s="6"/>
      <c r="Q14" s="6"/>
      <c r="R14" s="6"/>
      <c r="S14" s="6"/>
      <c r="T14" s="6"/>
      <c r="U14" s="6"/>
      <c r="V14" s="6"/>
    </row>
    <row r="15" spans="1:22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4" t="str">
        <f t="shared" si="0"/>
        <v/>
      </c>
      <c r="M15" s="12"/>
      <c r="N15" s="10"/>
      <c r="O15" s="10"/>
      <c r="P15" s="6"/>
      <c r="Q15" s="6"/>
      <c r="R15" s="6"/>
      <c r="S15" s="6"/>
      <c r="T15" s="6"/>
      <c r="U15" s="6"/>
      <c r="V15" s="6"/>
    </row>
    <row r="16" spans="1:22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4" t="str">
        <f t="shared" si="0"/>
        <v/>
      </c>
      <c r="M16" s="12"/>
      <c r="N16" s="10"/>
      <c r="O16" s="10"/>
      <c r="P16" s="6"/>
      <c r="Q16" s="6"/>
      <c r="R16" s="6"/>
      <c r="S16" s="6"/>
      <c r="T16" s="6"/>
      <c r="U16" s="6"/>
      <c r="V16" s="6"/>
    </row>
    <row r="17" spans="1:22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4" t="str">
        <f t="shared" si="0"/>
        <v/>
      </c>
      <c r="M17" s="12"/>
      <c r="N17" s="10"/>
      <c r="O17" s="10"/>
      <c r="P17" s="6"/>
      <c r="Q17" s="6"/>
      <c r="R17" s="6"/>
      <c r="S17" s="6"/>
      <c r="T17" s="6"/>
      <c r="U17" s="6"/>
      <c r="V17" s="6"/>
    </row>
  </sheetData>
  <dataValidations count="3">
    <dataValidation type="list" allowBlank="1" sqref="M10:M17" xr:uid="{00000000-0002-0000-0200-000000000000}">
      <formula1>"PASS,FAIL,N/A"</formula1>
    </dataValidation>
    <dataValidation type="list" allowBlank="1" showDropDown="1" showErrorMessage="1" sqref="C4:C9" xr:uid="{00000000-0002-0000-0200-000001000000}">
      <formula1>"Content,2D,3D"</formula1>
    </dataValidation>
    <dataValidation type="list" allowBlank="1" sqref="M4:M9" xr:uid="{00000000-0002-0000-0200-000002000000}">
      <formula1>"DONE,TODO"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SignupLanding</vt:lpstr>
      <vt:lpstr>AI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Teerawut Charoenta</cp:lastModifiedBy>
  <dcterms:created xsi:type="dcterms:W3CDTF">2026-09-24T11:38:51Z</dcterms:created>
  <dcterms:modified xsi:type="dcterms:W3CDTF">2026-09-24T11:42:43Z</dcterms:modified>
</cp:coreProperties>
</file>