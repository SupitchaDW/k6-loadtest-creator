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 Summary" sheetId="1" r:id="rId5"/>
    <sheet state="visible" name="Signup Performance Metrics" sheetId="2" r:id="rId6"/>
    <sheet state="visible" name="AI Capacity" sheetId="3" r:id="rId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">
      <text>
        <t xml:space="preserve">http_req_failed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1">
      <text>
        <t xml:space="preserve">503 Service Unavailable</t>
      </text>
    </comment>
    <comment authorId="0" ref="T8">
      <text>
        <t xml:space="preserve">502 Bad Gateway</t>
      </text>
    </comment>
  </commentList>
</comments>
</file>

<file path=xl/sharedStrings.xml><?xml version="1.0" encoding="utf-8"?>
<sst xmlns="http://schemas.openxmlformats.org/spreadsheetml/2006/main" count="242" uniqueCount="97">
  <si>
    <t>LoadTest Report - Test Summary</t>
  </si>
  <si>
    <t>Signup Performance Metrics - k6 RESULTS / HTML</t>
  </si>
  <si>
    <t>Test Case ID</t>
  </si>
  <si>
    <t>AI Generate Capacity</t>
  </si>
  <si>
    <t>Test Type</t>
  </si>
  <si>
    <t>Scenario</t>
  </si>
  <si>
    <t>API Flow</t>
  </si>
  <si>
    <t>Environment</t>
  </si>
  <si>
    <t>Test Date</t>
  </si>
  <si>
    <t>Target VUs</t>
  </si>
  <si>
    <t>Max VUs</t>
  </si>
  <si>
    <t>AI Generate Performance Test measures task submission/queue acceptance performance. It does not measure AI task completion time or end-to-end generation throughput.</t>
  </si>
  <si>
    <t>Total Requests</t>
  </si>
  <si>
    <t>Avg (ms)</t>
  </si>
  <si>
    <t>P90 (ms)</t>
  </si>
  <si>
    <t>Min (ms)</t>
  </si>
  <si>
    <t>P95 (ms)</t>
  </si>
  <si>
    <t>Median (ms)</t>
  </si>
  <si>
    <t>Error Rate (%)</t>
  </si>
  <si>
    <t>Max (ms)</t>
  </si>
  <si>
    <t>Result</t>
  </si>
  <si>
    <t>HTML Report</t>
  </si>
  <si>
    <t>Note</t>
  </si>
  <si>
    <t>Checks Passed</t>
  </si>
  <si>
    <t>Checks Failed</t>
  </si>
  <si>
    <t>Check Pass Rate (%)</t>
  </si>
  <si>
    <t>TC001</t>
  </si>
  <si>
    <t>Test Case</t>
  </si>
  <si>
    <t>Console log - Success</t>
  </si>
  <si>
    <t>Smoke</t>
  </si>
  <si>
    <t>Console log - Failed</t>
  </si>
  <si>
    <t>signup-supporter</t>
  </si>
  <si>
    <t>AI Type</t>
  </si>
  <si>
    <t>sit</t>
  </si>
  <si>
    <t>Total Gen Requests</t>
  </si>
  <si>
    <t>201 Success</t>
  </si>
  <si>
    <t>DONE</t>
  </si>
  <si>
    <t>signup-supporter_TC001_sit_20260902_005911.html</t>
  </si>
  <si>
    <t>201 Success Rate (%)</t>
  </si>
  <si>
    <t>Content</t>
  </si>
  <si>
    <t xml:space="preserve"> // TC001 - Smoke
  TC001: {
    executor: 'per-vu-iterations',
    vus: 10,
    iterations: 1,
    maxDuration: '1m',
  },</t>
  </si>
  <si>
    <t>TC002</t>
  </si>
  <si>
    <t>✓ supporter signup returns 2xx
     checks.........................: 100.00% ✓ 10       ✗ 0   
     data_received..................: 59 kB   33 kB/s
     data_sent......................: 24 kB   14 kB/s
     http_req_blocked...............: avg=42.4ms   min=38.23ms  med=42.5ms   max=46.5ms  p(90)=45.68ms p(95)=46.09ms 
     http_req_connecting............: avg=15.59ms  min=15.04ms  med=15.19ms  max=16.63ms p(90)=16.6ms  p(95)=16.61ms 
     http_req_duration..............: avg=977.67ms min=342.47ms med=931.46ms max=1.72s   p(90)=1.54s   p(95)=1.63s   
       { expected_response:true }...: avg=977.67ms min=342.47ms med=931.46ms max=1.72s   p(90)=1.54s   p(95)=1.63s   
     http_req_failed................: 0.00%   ✓ 0        ✗ 10  
     http_req_receiving.............: avg=274.3µs  min=30µs     med=191µs    max=1.41ms  p(90)=363.8µs p(95)=889.39µs
     http_req_sending...............: avg=63.2µs   min=43µs     med=50µs     max=117µs   p(90)=115.2µs p(95)=116.1µs 
     http_req_tls_handshaking.......: avg=24.38ms  min=20.66ms  med=24.91ms  max=27.43ms p(90)=26.57ms p(95)=27ms    
     http_req_waiting...............: avg=977.33ms min=342.11ms med=931.34ms max=1.72s   p(90)=1.54s   p(95)=1.63s   
     http_reqs......................: 10      5.636686/s
     iteration_duration.............: avg=1.02s    min=382.57ms med=974.64ms max=1.77s   p(90)=1.58s   p(95)=1.67s   
     iterations.....................: 10      5.636686/s
     vus............................: 5       min=5      max=5 
running (0m01.8s), 00/10 VUs, 10 complete and 0 interrupted iterations
api_test ✓ [======================================] 10 VUs  0m01.8s/1m0s  10/10 iters, 1 per VU</t>
  </si>
  <si>
    <t>Capacity</t>
  </si>
  <si>
    <t>signup-supporter_TC002_sit_20260906_163449.html</t>
  </si>
  <si>
    <r>
      <rPr>
        <rFont val="Calibri"/>
        <b/>
        <color theme="1"/>
        <sz val="11.0"/>
      </rPr>
      <t xml:space="preserve">ภาพรวม: </t>
    </r>
    <r>
      <rPr>
        <rFont val="Calibri"/>
        <color theme="1"/>
        <sz val="11.0"/>
      </rPr>
      <t xml:space="preserve">ผ่าน (PASS) จนถึง 300 VUs; ประสิทธิภาพเริ่มลดลงเมื่อเกิน 300 VUs
</t>
    </r>
    <r>
      <rPr>
        <rFont val="Calibri"/>
        <b/>
        <color theme="1"/>
        <sz val="11.0"/>
      </rPr>
      <t xml:space="preserve">
VUs       Success Rate        P95           Result</t>
    </r>
    <r>
      <rPr>
        <rFont val="Calibri"/>
        <color theme="1"/>
        <sz val="11.0"/>
      </rPr>
      <t xml:space="preserve">
100        100%                    11.49s        PASS
250        100%                    18.42s        PASS
300        100%                    24.87s        PASS*
350        77.71%                 24.99s        FAIL
500        67.00%                 28.83s        FAIL
750        33.33%                 28.49s        FAIL
* Success 100% แต่ใช้เวลาตอบสนองนาน
</t>
    </r>
    <r>
      <rPr>
        <rFont val="Calibri"/>
        <b/>
        <color theme="1"/>
        <sz val="11.0"/>
      </rPr>
      <t>สรุป:</t>
    </r>
    <r>
      <rPr>
        <rFont val="Calibri"/>
        <color theme="1"/>
        <sz val="11.0"/>
      </rPr>
      <t xml:space="preserve">
Signup Supporter สามารถรองรับผู้ใช้งานพร้อมกันได้สูงสุด ~300 VUs แต่เมื่อโหลดเพิ่มขึ้น เวลาตอบสนองจะเพิ่มขึ้นอย่างมาก โดยที่ 300 VUs มีค่า P95 สูงถึง 24.87 วินาที และเมื่อเพิ่มเป็น 350 VUs อัตราความสำเร็จลดลงเหลือ 77.71% บ่งชี้ว่าระบบเกินขีดความสามารถในการรองรับที่เสถียรแล้ว
</t>
    </r>
    <r>
      <rPr>
        <rFont val="Calibri"/>
        <b/>
        <color theme="1"/>
        <sz val="11.0"/>
      </rPr>
      <t>คำแนะนำ:</t>
    </r>
    <r>
      <rPr>
        <rFont val="Calibri"/>
        <color theme="1"/>
        <sz val="11.0"/>
      </rPr>
      <t xml:space="preserve"> 250 VUs เพื่อประสิทธิภาพที่ดีกว่า โดย 300 VUs เป็นความจุสูงสุดที่เสถียร
เป้าหมาย 1,000 VUs: ไม่บรรลุเป้าหมาย</t>
    </r>
  </si>
  <si>
    <t>TC003</t>
  </si>
  <si>
    <t>Sustained</t>
  </si>
  <si>
    <t>// TC002 - Concurrent Capacity
  TC002: {
    executor: 'per-vu-iterations',
    vus: 300,
    iterations: 1,
    maxDuration: '5m',
  },</t>
  </si>
  <si>
    <t>✓ supporter signup returns 2xx
     checks.........................: 100.00% ✓ 300       ✗ 0    
     data_received..................: 1.8 MB  68 kB/s
     data_sent......................: 720 kB  28 kB/s
     http_req_blocked...............: avg=744.79ms min=454.64ms med=721.38ms max=1.16s    p(90)=1s       p(95)=1.03s   
     http_req_connecting............: avg=85.49ms  min=19.46ms  med=80.18ms  max=199.21ms p(90)=108.71ms p(95)=197.17ms
     http_req_duration..............: avg=14.44s   min=668.99ms med=13.77s   max=25.05s   p(90)=24.31s   p(95)=24.87s  
       { expected_response:true }...: avg=14.44s   min=668.99ms med=13.77s   max=25.05s   p(90)=24.31s   p(95)=24.87s  
     http_req_failed................: 0.00%   ✓ 0         ✗ 300  
     http_req_receiving.............: avg=143.09µs min=22µs     med=115µs    max=1.74ms   p(90)=220.4µs  p(95)=267.05µs
     http_req_sending...............: avg=45.78µs  min=24µs     med=38µs     max=572µs    p(90)=66.1µs   p(95)=83.04µs 
     http_req_tls_handshaking.......: avg=256.72ms min=33.32ms  med=210.26ms max=682.88ms p(90)=525.14ms p(95)=561.89ms
     http_req_waiting...............: avg=14.44s   min=668.83ms med=13.77s   max=25.05s   p(90)=24.3s    p(95)=24.87s  
     http_reqs......................: 300     11.494654/s
     iteration_duration.............: avg=15.19s   min=1.13s    med=14.55s   max=26.09s   p(90)=25.3s    p(95)=26.02s  
     iterations.....................: 300     11.494654/s
     vus............................: 16      min=16      max=300
running (0m26.1s), 000/300 VUs, 300 complete and 0 interrupted iterations
api_test ✓ [======================================] 300 VUs  0m26.1s/5m0s  300/300 iters, 1 per VU</t>
  </si>
  <si>
    <t>✗ supporter signup returns 2xx
↳  77% — ✓ 272 / ✗ 78
     checks.........................: 77.71% ✓ 272       ✗ 78   
     data_received..................: 2.0 MB 77 kB/s
     data_sent......................: 839 kB 33 kB/s
     http_req_blocked...............: avg=465.94ms min=125.29ms med=376.64ms max=1.01s    p(90)=832.1ms  p(95)=849.13ms
     http_req_connecting............: avg=98.03ms  min=38.89ms  med=112.5ms  max=142.39ms p(90)=130.58ms p(95)=134.07ms
     http_req_duration..............: avg=15.85s   min=416.76ms med=16.34s   max=25.29s   p(90)=23.54s   p(95)=24.99s  
       { expected_response:true }...: avg=13.58s   min=416.76ms med=13.85s   max=25.22s   p(90)=20.6s    p(95)=22.38s  
     http_req_failed................: 22.28% ✓ 78        ✗ 272  
     http_req_receiving.............: avg=135.27µs min=14µs     med=113.5µs  max=753µs    p(90)=212µs    p(95)=343.94µs
     http_req_sending...............: avg=42.14µs  min=25µs     med=35µs     max=541µs    p(90)=58µs     p(95)=73.54µs 
     http_req_tls_handshaking.......: avg=354.16ms min=71.49ms  med=223.6ms  max=888.09ms p(90)=697.59ms p(95)=713.51ms
     http_req_waiting...............: avg=15.85s   min=416.67ms med=16.34s   max=25.29s   p(90)=23.54s   p(95)=24.99s  
     http_reqs......................: 350    13.541848/s
     iteration_duration.............: avg=16.32s   min=573.96ms med=16.7s    max=25.84s   p(90)=24.24s   p(95)=25.83s  
     iterations.....................: 350    13.541848/s
     vus............................: 25     min=25      max=348
running (0m25.8s), 000/350 VUs, 350 complete and 0 interrupted iterations
api_test ✓ [======================================] 350 VUs  0m25.8s/5m0s  350/350 iters, 1 per VU
✗ supporter signup returns 2xx
      ↳  67% — ✓ 335 / ✗ 165
     checks.........................: 67.00% ✓ 335       ✗ 165
     data_received..................: 2.8 MB 93 kB/s
     data_sent......................: 1.2 MB 40 kB/s
     http_req_blocked...............: avg=635.7ms  min=163.32ms med=522.38ms max=1.22s    p(90)=1.19s    p(95)=1.21s  
     http_req_connecting............: avg=350.53ms min=43.4ms   med=233.87ms max=1.08s    p(90)=1.07s    p(95)=1.07s  
     http_req_duration..............: avg=19.86s   min=4.09s    med=21.85s   max=29.34s   p(90)=27.44s   p(95)=28.83s 
       { expected_response:true }...: avg=16.31s   min=4.09s    med=16.63s   max=29.28s   p(90)=24.91s   p(95)=25.87s 
     http_req_failed................: 33.00% ✓ 165       ✗ 335  
     http_req_receiving.............: avg=122.34µs min=0s       med=98µs     max=755µs    p(90)=226.1µs  p(95)=371µs  
     http_req_sending...............: avg=42.62µs  min=23µs     med=34µs     max=997µs    p(90)=52µs     p(95)=64µs   
     http_req_tls_handshaking.......: avg=273.01ms min=47.93ms  med=171.94ms max=687.08ms p(90)=565.85ms p(95)=662.6ms
     http_req_waiting...............: avg=19.86s   min=4.09s    med=21.85s   max=29.34s   p(90)=27.44s   p(95)=28.83s 
     http_reqs......................: 500    16.660645/s
     iteration_duration.............: avg=20.5s    min=4.44s    med=22.63s   max=30s      p(90)=28.03s   p(95)=30s    
     iterations.....................: 500    16.660645/s
     vus............................: 42     min=42      max=500
running (0m30.0s), 000/500 VUs, 500 complete and 0 interrupted iterations
api_test ✓ [======================================] 500 VUs  0m30.0s/5m0s  500/500 iters, 1 per VU
✗ supporter signup returns 2xx
      ↳  33% — ✓ 250 / ✗ 500
     checks.........................: 33.33% ✓ 250       ✗ 500  
     data_received..................: 3.9 MB 129 kB/s
     data_sent......................: 1.8 MB 60 kB/s
     http_req_blocked...............: avg=1.14s    min=365.99ms med=1.25s    max=2s      p(90)=1.73s    p(95)=1.77s   
     http_req_connecting............: avg=292.46ms min=173.34ms med=251.22ms max=1.22s   p(90)=328.51ms p(95)=431.82ms
     http_req_duration..............: avg=24.31s   min=3.52s    med=28.14s   max=28.66s  p(90)=28.45s   p(95)=28.49s  
       { expected_response:true }...: avg=16.41s   min=3.52s    med=16.38s   max=28.45s  p(90)=26.14s   p(95)=27.22s  
     http_req_failed................: 66.66% ✓ 500       ✗ 250  
     http_req_receiving.............: avg=771.21µs min=0s       med=108.5µs  max=10.97ms p(90)=2.14ms   p(95)=4.81ms  
     http_req_sending...............: avg=44.43µs  min=23µs     med=38µs     max=389µs   p(90)=66µs     p(95)=83µs    
     http_req_tls_handshaking.......: avg=840.31ms min=17.51ms  med=1.02s    max=1.81s   p(90)=1.43s    p(95)=1.46s   
     http_req_waiting...............: avg=24.31s   min=3.52s    med=28.14s   max=28.66s  p(90)=28.45s   p(95)=28.49s  
     http_reqs......................: 750    24.971542/s
     iteration_duration.............: avg=25.46s   min=3.92s    med=29.45s   max=30.02s  p(90)=30.01s   p(95)=30.02s  
     iterations.....................: 750    24.971542/s
     vus............................: 201    min=201     max=750
running (0m30.0s), 000/750 VUs, 750 complete and 0 interrupted iterations
api_test ✓ [======================================] 750 VUs  0m30.0s/5m0s  750/750 iters, 1 per VU</t>
  </si>
  <si>
    <t>✓ login returns 2xx
✓ ai-generate-content accepted
✓ delete AI task returns expected status
     ai_content_requests............: 2       0.393461/s
     ai_content_response_time.......: avg=2687.9825 min=2202.857 med=2687.9825 max=3173.108 p(90)=3076.0829 p(95)=3124.59545
     ai_content_success_201.........: 2       0.393461/s
     checks.........................: 100.00% ✓ 6        ✗ 0  
     data_received..................: 14 kB   2.7 kB/s
     data_sent......................: 5.6 kB  1.1 kB/s
     http_req_blocked...............: avg=17.15ms   min=1µs      med=2µs       max=52.45ms  p(90)=51.47ms   p(95)=51.96ms   
     http_req_connecting............: avg=5.01ms    min=0s       med=0s        max=15.08ms  p(90)=15.04ms   p(95)=15.06ms   
     http_req_duration..............: avg=1.47s     min=676.35ms med=1.07s     max=3.17s    p(90)=2.68s     p(95)=2.93s     
       { expected_response:true }...: avg=1.58s     min=676.35ms med=1.17s     max=3.17s    p(90)=2.78s     p(95)=2.97s     
     http_req_failed................: 16.66%  ✓ 1        ✗ 5  
     http_req_receiving.............: avg=164.5µs   min=119µs    med=154µs     max=252µs    p(90)=213.5µs   p(95)=232.74µs  
     http_req_sending...............: avg=345.5µs   min=110µs    med=391.5µs   max=514µs    p(90)=459µs     p(95)=486.5µs   
     http_req_tls_handshaking.......: avg=6.84ms    min=0s       med=0s        max=21.65ms  p(90)=20.53ms   p(95)=21.09ms   
     http_req_waiting...............: avg=1.47s     min=676.09ms med=1.07s     max=3.17s    p(90)=2.68s     p(95)=2.92s     
     http_reqs......................: 6       1.180384/s
     iteration_duration.............: avg=4.49s     min=3.9s     med=4.49s     max=5.08s    p(90)=4.96s     p(95)=5.02s     
     iterations.....................: 2       0.393461/s
     vus............................: 1       min=1      max=2
running (0m05.1s), 0/2 VUs, 2 complete and 0 interrupted iterations
api_test ✓ [======================================] 2 VUs  0m05.1s/1m0s  2/2 iters, 1 per VU</t>
  </si>
  <si>
    <t>signup-supporter_TC003_sit_20260906_164217.html</t>
  </si>
  <si>
    <r>
      <rPr>
        <rFont val="Calibri"/>
        <b/>
        <color theme="1"/>
        <sz val="11.0"/>
      </rPr>
      <t xml:space="preserve">ภาพรวม: </t>
    </r>
    <r>
      <rPr>
        <rFont val="Calibri"/>
        <color theme="1"/>
        <sz val="11.0"/>
      </rPr>
      <t xml:space="preserve">ผ่าน (PASS) โดยประสิทธิภาพลดลงเล็กน้อย
</t>
    </r>
    <r>
      <rPr>
        <rFont val="Calibri"/>
        <b/>
        <color theme="1"/>
        <sz val="11.0"/>
      </rPr>
      <t>สรุป:</t>
    </r>
    <r>
      <rPr>
        <rFont val="Calibri"/>
        <color theme="1"/>
        <sz val="11.0"/>
      </rPr>
      <t xml:space="preserve">
Signup Supporter สามารถรองรับการทำงานต่อเนื่อง 10 flows/sec เป็นเวลา 10 นาที ด้วยความสำเร็จ 97.39% พบข้อผิดพลาดและ Dropped Iterations บางส่วน ซึ่งแสดงว่าประสิทธิภาพลดลงเล็กน้อยภายใต้โหลดต่อเนื่อง
</t>
    </r>
    <r>
      <rPr>
        <rFont val="Calibri"/>
        <b/>
        <color theme="1"/>
        <sz val="11.0"/>
      </rPr>
      <t>คำแนะนำ:</t>
    </r>
    <r>
      <rPr>
        <rFont val="Calibri"/>
        <color theme="1"/>
        <sz val="11.0"/>
      </rPr>
      <t xml:space="preserve"> 10 flows/sec</t>
    </r>
  </si>
  <si>
    <t>creator-individual</t>
  </si>
  <si>
    <t>// TC003 - Sustained Load
  TC003: {
    executor: 'constant-arrival-rate',
    rate: 10,
    timeUnit: '1s',
    duration: '10m',
    preAllocatedVUs: 50,
    maxVUs: 150,
  },</t>
  </si>
  <si>
    <t>✗ supporter signup returns 2xx
↳  97% — ✓ 5803 / ✗ 155
     checks.........................: 97.39% ✓ 5803     ✗ 155 
     data_received..................: 8.1 MB 14 kB/s
     data_sent......................: 3.4 MB 5.6 kB/s
     dropped_iterations.............: 43     0.071631/s
     http_req_blocked...............: avg=696.9µs  min=0s       med=1µs      max=132.12ms p(90)=2µs     p(95)=2µs  
     http_req_connecting............: avg=363.18µs min=0s       med=0s       max=99.45ms  p(90)=0s      p(95)=0s   
     http_req_duration..............: avg=1.54s    min=221.48ms med=338.61ms max=21.06s   p(90)=4.12s   p(95)=8.05s
       { expected_response:true }...: avg=1.28s    min=221.48ms med=334.71ms max=21.06s   p(90)=3.17s   p(95)=5.58s
     http_req_failed................: 2.60%  ✓ 155      ✗ 5803
     http_req_receiving.............: avg=138.62µs min=8µs      med=123µs    max=3.51ms   p(90)=256µs   p(95)=312µs
     http_req_sending...............: avg=432.06µs min=57µs     med=420µs    max=12.43ms  p(90)=616.3µs p(95)=711µs
     http_req_tls_handshaking.......: avg=318.48µs min=0s       med=0s       max=119.67ms p(90)=0s      p(95)=0s   
     http_req_waiting...............: avg=1.54s    min=220.86ms med=338.15ms max=21.06s   p(90)=4.12s   p(95)=8.05s
     http_reqs......................: 5958   9.925116/s
     iteration_duration.............: avg=1.54s    min=222.35ms med=339.45ms max=21.06s   p(90)=4.12s   p(95)=8.05s
     iterations.....................: 5958   9.925116/s
     vus............................: 3      min=2      max=92
running (10m00.3s), 000/093 VUs, 5958 complete and 0 interrupted iterations
api_test ✓ [======================================] 000/093 VUs  10m0s  10.00 iters/s</t>
  </si>
  <si>
    <t>creator-individual_TC001_sit_20260902_105427.html</t>
  </si>
  <si>
    <t>✓ login returns 2xx
✓ ai-generate-content accepted
✓ delete AI task returns expected status
     ai_content_requests............: 70      0.701323/s
     ai_content_response_time.......: avg=38031.333614 min=26438.652 med=27508.887 max=53429.484 p(90)=52956.1072 p(95)=53104.1729
     ai_content_success_201.........: 70      0.701323/s
     checks.........................: 100.00% ✓ 210      ✗ 0   
     data_received..................: 463 kB  4.6 kB/s
     data_sent......................: 196 kB  2.0 kB/s
     http_req_blocked...............: avg=25.24ms      min=0s        med=1µs       max=105.54ms  p(90)=89.26ms    p(95)=96.95ms   
     http_req_connecting............: avg=7.16ms       min=0s        med=0s        max=28.02ms   p(90)=23.31ms    p(95)=24.89ms   
     http_req_duration..............: avg=29.88s       min=3.5s      med=27.5s     max=55.72s    p(90)=55s        p(95)=55.12s    
       { expected_response:true }...: avg=29.88s       min=3.5s      med=27.49s    max=55.72s    p(90)=55s        p(95)=55.12s    
     http_req_failed................: 0.47%   ✓ 1        ✗ 209 
     http_req_receiving.............: avg=130.16µs     min=18µs      med=74µs      max=4.8ms     p(90)=173.3µs    p(95)=257.94µs  
     http_req_sending...............: avg=167.06µs     min=25µs      med=90.5µs    max=2.76ms    p(90)=350µs      p(95)=469.04µs  
     http_req_tls_handshaking.......: avg=14.17ms      min=0s        med=0s        max=60.02ms   p(90)=49.92ms    p(95)=54.48ms   
     http_req_waiting...............: avg=29.88s       min=3.5s      med=27.5s     max=55.72s    p(90)=55s        p(95)=55.12s    
     http_reqs......................: 210     2.103969/s
     iteration_duration.............: avg=1m29s        min=58.55s    med=1m26s     max=1m39s     p(90)=1m39s      p(95)=1m39s     
     iterations.....................: 70      0.701323/s
     vus............................: 18      min=18     max=70
running (1m39.8s), 00/70 VUs, 70 complete and 0 interrupted iterations
api_test ✓ [======================================] 70 VUs  1m39.8s/2m0s  70/70 iters, 1 per VU</t>
  </si>
  <si>
    <t>✓ login returns 2xx
✗ ai-generate-content accepted
↳  60% — ✓ 48 / ✗ 32
✓ delete AI task returns expected status
     ai_content_requests............: 80     0.866667/s
     ai_content_response_time.......: avg=54761.02235 min=49048.547 med=52822.3985 max=60001.951 p(90)=60000.5902 p(95)=60000.66005
     ai_content_success_201.........: 48     0.52/s
     checks.........................: 84.61% ✓ 176      ✗ 32  
     data_received..................: 507 kB 5.5 kB/s
     data_sent......................: 223 kB 2.4 kB/s
     http_req_blocked...............: avg=74.18ms     min=0s        med=1µs        max=457.93ms  p(90)=356.1ms    p(95)=419.86ms   
     http_req_connecting............: avg=9.14ms      min=0s        med=0s         max=44.9ms    p(90)=26.24ms    p(95)=29.79ms    
     http_req_duration..............: avg=30.42s      min=3.76s     med=30.43s     max=1m0s      p(90)=59.99s     p(95)=1m0s       
       { expected_response:true }...: avg=25.02s      min=3.76s     med=29.34s     max=54.95s    p(90)=51.89s     p(95)=52.76s     
     http_req_failed................: 15.86% ✓ 33       ✗ 175 
     http_req_receiving.............: avg=164.37µs    min=0s        med=80µs       max=2.99ms    p(90)=215.7µs    p(95)=510.29µs   
     http_req_sending...............: avg=161.47µs    min=31µs      med=68µs       max=1.04ms    p(90)=406.5µs    p(95)=520.89µs   
     http_req_tls_handshaking.......: avg=60.55ms     min=0s        med=0s         max=390.65ms  p(90)=310.77ms   p(95)=369.97ms   
     http_req_waiting...............: avg=30.42s      min=3.76s     med=30.43s     max=1m0s      p(90)=59.99s     p(95)=1m0s       
     http_reqs......................: 208    2.253334/s
     iteration_duration.............: avg=1m19s       min=1m4s      med=1m26s      max=1m32s     p(90)=1m28s      p(95)=1m32s      
     iterations.....................: 80     0.866667/s
     vus............................: 8      min=8      max=80
running (1m32.3s), 00/80 VUs, 80 complete and 0 interrupted iterations
api_test ✓ [======================================] 80 VUs  1m32.3s/2m0s  80/80 iters, 1 per VU</t>
  </si>
  <si>
    <t>2D</t>
  </si>
  <si>
    <t>// TC001 - Smoke
  TC001: {
    executor: 'per-vu-iterations',
    vus: 10,
    iterations: 1,
    maxDuration: '1m',
  },</t>
  </si>
  <si>
    <t>✓ creator user signup returns 2xx
✓ register creator returns 2xx
     checks.........................: 100.00% ✓ 20        ✗ 0   
     data_received..................: 67 kB   36 kB/s
     data_sent......................: 29 kB   15 kB/s
     http_req_blocked...............: avg=36.58ms  min=0s      med=33.12ms  max=78.86ms p(90)=76.8ms  p(95)=78.24ms 
     http_req_connecting............: avg=7.54ms   min=0s      med=7.42ms   max=15.2ms  p(90)=15.17ms p(95)=15.19ms 
     http_req_duration..............: avg=811.77ms min=29.05ms med=865.54ms max=1.72s   p(90)=1.71s   p(95)=1.72s   
       { expected_response:true }...: avg=811.77ms min=29.05ms med=865.54ms max=1.72s   p(90)=1.71s   p(95)=1.72s   
     http_req_failed................: 0.00%   ✓ 0         ✗ 20  
     http_req_receiving.............: avg=52.7µs   min=20µs    med=40.5µs   max=142µs   p(90)=87.8µs  p(95)=122.99µs
     http_req_sending...............: avg=193.65µs min=59µs    med=118µs    max=793µs   p(90)=427.1µs p(95)=540.29µs
     http_req_tls_handshaking.......: avg=14.83ms  min=0s      med=11.33ms  max=35.96ms p(90)=33.25ms p(95)=34.65ms 
     http_req_waiting...............: avg=811.52ms min=28.75ms med=865.29ms max=1.72s   p(90)=1.71s   p(95)=1.72s   
     http_reqs......................: 20      10.536486/s
     iteration_duration.............: avg=1.69s    min=1.07s   med=1.84s    max=1.89s   p(90)=1.89s   p(95)=1.89s   
     iterations.....................: 10      5.268243/s
     vus............................: 10      min=10      max=10
running (0m01.9s), 00/10 VUs, 10 complete and 0 interrupted iterations
api_test ✓ [======================================] 10 VUs  0m01.9s/1m0s  10/10 iters, 1 per VU</t>
  </si>
  <si>
    <t>creator-individual_TC002_sit_20260906_181327.html</t>
  </si>
  <si>
    <r>
      <rPr>
        <rFont val="Calibri"/>
        <b/>
        <color theme="1"/>
        <sz val="11.0"/>
      </rPr>
      <t>ภาพรวม:</t>
    </r>
    <r>
      <rPr>
        <rFont val="Calibri"/>
        <color theme="1"/>
        <sz val="11.0"/>
      </rPr>
      <t xml:space="preserve"> ผ่าน (PASS) จนถึง 250 VUs; พบขีดจำกัดความจุที่ 300 VUs
</t>
    </r>
    <r>
      <rPr>
        <rFont val="Calibri"/>
        <b/>
        <color theme="1"/>
        <sz val="11.0"/>
      </rPr>
      <t>VUs     Success Rate         P95           Result</t>
    </r>
    <r>
      <rPr>
        <rFont val="Calibri"/>
        <color theme="1"/>
        <sz val="11.0"/>
      </rPr>
      <t xml:space="preserve">
150      100%                    12.77s         PASS
200      100%                    16.31s         PASS
250      100%                     20.97s        PASS
300      75.49%                  23.33s        FAIL
</t>
    </r>
    <r>
      <rPr>
        <rFont val="Calibri"/>
        <b/>
        <color theme="1"/>
        <sz val="11.0"/>
      </rPr>
      <t>สรุป:</t>
    </r>
    <r>
      <rPr>
        <rFont val="Calibri"/>
        <color theme="1"/>
        <sz val="11.0"/>
      </rPr>
      <t xml:space="preserve">
Creator-Individual สำเร็จ 100% ที่ 250 VUs โดยไม่มี HTTP failures 
ที่ 300 VUs ความสำเร็จลดลงเหลือ 75.49% สาเหตุหลักมาจาก 502 Bad Gateway errors
</t>
    </r>
    <r>
      <rPr>
        <rFont val="Calibri"/>
        <b/>
        <color theme="1"/>
        <sz val="11.0"/>
      </rPr>
      <t>คำแนะนำ:</t>
    </r>
    <r>
      <rPr>
        <rFont val="Calibri"/>
        <color theme="1"/>
        <sz val="11.0"/>
      </rPr>
      <t xml:space="preserve">
ความจุสูงสุดที่เสถียร: 250 VUs
ความจุที่แนะนำให้ใช้งาน: 200 VUs
เป้าหมาย 1,000 VUs: ไม่บรรลุเป้าหมาย</t>
    </r>
  </si>
  <si>
    <t>✓ login returns 2xx
✓ ai-generate-2d accepted
✓ delete AI task returns expected status
     ai_2d_requests.................: 2       0.430487/s
     ai_2d_response_time............: avg=2971.1025 min=2971.085 med=2971.1025 max=2971.12 p(90)=2971.1165 p(95)=2971.11825
     ai_2d_success_201..............: 2       0.430487/s
     checks.........................: 100.00% ✓ 6        ✗ 0  
     data_received..................: 14 kB   2.9 kB/s
     data_sent......................: 7.1 kB  1.5 kB/s
     http_req_blocked...............: avg=13.03ms   min=2µs      med=2.5µs     max=40.1ms  p(90)=39.09ms   p(95)=39.59ms   
     http_req_connecting............: avg=5.08ms    min=0s       med=0s        max=15.29ms p(90)=15.24ms   p(95)=15.27ms   
     http_req_duration..............: avg=1.52s     min=499.21ms med=1.09s     max=2.97s   p(90)=2.97s     p(95)=2.97s     
       { expected_response:true }...: avg=1.59s     min=499.21ms med=1.05s     max=2.97s   p(90)=2.97s     p(95)=2.97s     
     http_req_failed................: 16.66%  ✓ 1        ✗ 5  
     http_req_receiving.............: avg=560.16µs  min=34µs     med=141µs     max=1.55ms  p(90)=1.48ms    p(95)=1.51ms    
     http_req_sending...............: avg=264.83µs  min=99µs     med=261µs     max=450µs   p(90)=391.5µs   p(95)=420.75µs  
     http_req_tls_handshaking.......: avg=6.61ms    min=0s       med=0s        max=20.98ms p(90)=19.85ms   p(95)=20.41ms   
     http_req_waiting...............: avg=1.52s     min=498.97ms med=1.09s     max=2.96s   p(90)=2.96s     p(95)=2.96s     
     http_reqs......................: 6       1.291462/s
     iteration_duration.............: avg=4.6s      min=4.56s    med=4.6s      max=4.64s   p(90)=4.63s     p(95)=4.64s     
     iterations.....................: 2       0.430487/s
     vus............................: 2       min=2      max=2
running (0m04.6s), 0/2 VUs, 2 complete and 0 interrupted iterations
api_test ✓ [======================================] 2 VUs  0m04.6s/1m0s  2/2 iters, 1 per VU</t>
  </si>
  <si>
    <t>// TC002 - Concurrent Capacity
  TC002: {
    executor: 'per-vu-iterations',
    vus: 250,
    iterations: 1,
    maxDuration: '5m',
  },</t>
  </si>
  <si>
    <t>✓ creator user signup returns 2xx
✓ register creator returns 2xx
     checks.........................: 100.00% ✓ 500       ✗ 0    
     data_received..................: 1.7 MB  76 kB/s
     data_sent......................: 718 kB  33 kB/s
     http_req_blocked...............: avg=248.42ms min=0s      med=48.31ms max=919.71ms p(90)=740.81ms p(95)=875.81ms
     http_req_connecting............: avg=37.85ms  min=0s      med=16.11ms max=118.39ms p(90)=102.2ms  p(95)=104.7ms 
     http_req_duration..............: avg=9.61s    min=21.81ms med=9.12s   max=21.23s   p(90)=19.94s   p(95)=20.97s  
       { expected_response:true }...: avg=9.61s    min=21.81ms med=9.12s   max=21.23s   p(90)=19.94s   p(95)=20.97s  
     http_req_failed................: 0.00%   ✓ 0         ✗ 500  
     http_req_receiving.............: avg=104.8µs  min=10µs    med=61.5µs  max=1.89ms   p(90)=172.1µs  p(95)=238.09µs
     http_req_sending...............: avg=174.1µs  min=22µs    med=70.5µs  max=1.08ms   p(90)=422µs    p(95)=466.44µs
     http_req_tls_handshaking.......: avg=205.28ms min=0s      med=26.65ms max=790.77ms p(90)=628.5ms  p(95)=759.9ms 
     http_req_waiting...............: avg=9.61s    min=21.44ms med=9.12s   max=21.23s   p(90)=19.94s   p(95)=20.97s  
     http_reqs......................: 500     22.621296/s
     iteration_duration.............: avg=19.73s   min=10.38s  med=21.81s  max=22.09s   p(90)=22.06s   p(95)=22.08s  
     iterations.....................: 250     11.310648/s
     vus............................: 55      min=55      max=250
running (0m22.1s), 000/250 VUs, 250 complete and 0 interrupted iterations
api_test ✓ [======================================] 250 VUs  0m22.1s/5m0s  250/250 iters, 1 per VU</t>
  </si>
  <si>
    <t>✗ creator user signup returns 2xx
↳  86% — ✓ 259 / ✗ 41
✗ register creator returns 2xx
↳  62% — ✓ 163 / ✗ 96
     checks.........................: 75.49% ✓ 422       ✗ 137  
     data_received..................: 1.9 MB 73 kB/s
     data_sent......................: 833 kB 32 kB/s
     http_req_blocked...............: avg=278.6ms  min=0s      med=163.74ms max=854.72ms p(90)=710.18ms p(95)=830.67ms
     http_req_connecting............: avg=43.8ms   min=0s      med=52.61ms  max=133.6ms  p(90)=95.74ms  p(95)=121.69ms
     http_req_duration..............: avg=11.17s   min=9.36ms  med=9.81s    max=24.97s   p(90)=22.41s   p(95)=23.33s  
       { expected_response:true }...: avg=10.72s   min=20.01ms med=9.58s    max=24.97s   p(90)=20.87s   p(95)=23.31s  
     http_req_failed................: 24.50% ✓ 137       ✗ 422  
     http_req_receiving.............: avg=140.84µs min=10µs    med=90µs     max=3.24ms   p(90)=223.8µs  p(95)=485.59µs
     http_req_sending...............: avg=194.63µs min=25µs    med=66µs     max=1.09ms   p(90)=471.4µs  p(95)=523.2µs 
     http_req_tls_handshaking.......: avg=227.81ms min=0s      med=108.2ms  max=751.12ms p(90)=610.86ms p(95)=727.2ms 
     http_req_waiting...............: avg=11.17s   min=8.99ms  med=9.81s    max=24.97s   p(90)=22.41s   p(95)=23.33s  
     http_reqs......................: 559    21.593703/s
     iteration_duration.............: avg=21.33s   min=6.04s   med=23.22s   max=25.87s   p(90)=25.75s   p(95)=25.82s  
     iterations.....................: 300    11.58875/s
     vus............................: 49     min=49      max=300
running (0m25.9s), 000/300 VUs, 300 complete and 0 interrupted iterations
api_test ✓ [======================================] 300 VUs  0m25.9s/5m0s  300/300 iters, 1 per VU</t>
  </si>
  <si>
    <t>creator-individual_TC003_sit_20260906_182643.html</t>
  </si>
  <si>
    <r>
      <rPr>
        <rFont val="Calibri"/>
        <b/>
        <color theme="1"/>
        <sz val="11.0"/>
      </rPr>
      <t>ภาพรวม:</t>
    </r>
    <r>
      <rPr>
        <rFont val="Calibri"/>
        <color theme="1"/>
        <sz val="11.0"/>
      </rPr>
      <t xml:space="preserve"> ผ่าน (PASS)
</t>
    </r>
    <r>
      <rPr>
        <rFont val="Calibri"/>
        <b/>
        <color theme="1"/>
        <sz val="11.0"/>
      </rPr>
      <t>สรุป:</t>
    </r>
    <r>
      <rPr>
        <rFont val="Calibri"/>
        <color theme="1"/>
        <sz val="11.0"/>
      </rPr>
      <t xml:space="preserve">
Creator-Individual สามารถรองรับ 10 flows/sec เป็นเวลา 10 นาทีได้สำเร็จ ด้วยความสำเร็จ 100% และไม่มี HTTP errors เวลาตอบสนอง P95 คือ 3.80 วินาที แสดงถึงประสิทธิภาพที่ดีภายใต้โหลดที่ต่อเนื่อง
</t>
    </r>
    <r>
      <rPr>
        <rFont val="Calibri"/>
        <b/>
        <color theme="1"/>
        <sz val="11.0"/>
      </rPr>
      <t xml:space="preserve">คำแนะนำ: </t>
    </r>
    <r>
      <rPr>
        <rFont val="Calibri"/>
        <color theme="1"/>
        <sz val="11.0"/>
      </rPr>
      <t>10 flows/sec</t>
    </r>
  </si>
  <si>
    <t>✓ login returns 2xx
✓ ai-generate-2d accepted
✗ delete AI task returns expected status
↳  91% — ✓ 55 / ✗ 5
     ai_2d_requests.................: 60     0.665573/s
     ai_2d_response_time............: avg=38326.541817 min=4283.059 med=30635.998 max=58076.39 p(90)=57623.6749 p(95)=57747.70075
     ai_2d_success_201..............: 60     0.665573/s
     checks.........................: 97.22% ✓ 175      ✗ 5   
     data_received..................: 399 kB 4.4 kB/s
     data_sent......................: 214 kB 2.4 kB/s
     http_req_blocked...............: avg=26.2ms       min=0s       med=1µs       max=101.83ms p(90)=88.49ms    p(95)=95.68ms    
     http_req_connecting............: avg=7.14ms       min=0s       med=0s        max=29.14ms  p(90)=23.45ms    p(95)=26.72ms    
     http_req_duration..............: avg=26.51s       min=3.51s    med=28.2s     max=58.07s   p(90)=56.59s     p(95)=57.19s     
       { expected_response:true }...: avg=26.17s       min=3.51s    med=28.2s     max=58.07s   p(90)=56.71s     p(95)=57.22s     
     http_req_failed................: 3.33%  ✓ 6        ✗ 174 
     http_req_receiving.............: avg=65.27µs      min=6µs      med=47µs      max=475µs    p(90)=131µs      p(95)=153.04µs   
     http_req_sending...............: avg=107.17µs     min=14µs     med=57µs      max=2.29ms   p(90)=216.1µs    p(95)=287.24µs   
     http_req_tls_handshaking.......: avg=13.05ms      min=0s       med=0s        max=55.04ms  p(90)=44.85ms    p(95)=47.84ms    
     http_req_waiting...............: avg=26.51s       min=3.51s    med=28.2s     max=58.07s   p(90)=56.59s     p(95)=57.19s     
     http_reqs......................: 180    1.996718/s
     iteration_duration.............: avg=1m19s        min=35.37s   med=1m29s     max=1m30s    p(90)=1m30s      p(95)=1m30s      
     iterations.....................: 60     0.665573/s
     vus............................: 13     min=13     max=60
running (1m30.1s), 00/60 VUs, 60 complete and 0 interrupted iterations
api_test ✓ [======================================] 60 VUs  1m30.1s/2m0s  60/60 iters, 1 per VU</t>
  </si>
  <si>
    <t>✓ login returns 2xx
✗ ai-generate-2d accepted
↳  88% — ✓ 62 / ✗ 8
✗ delete AI task returns expected status
↳  91% — ✓ 57 / ✗ 5
     ai_2d_requests.................: 70     0.681188/s
     ai_2d_response_time............: avg=43414.818557 min=29847.269 med=32179.71 max=60001.487 p(90)=59999.9488 p(95)=60000.74715
     ai_2d_success_201..............: 62     0.603338/s
     checks.........................: 93.56% ✓ 189      ✗ 13  
     data_received..................: 460 kB 4.5 kB/s
     data_sent......................: 249 kB 2.4 kB/s
     http_req_blocked...............: avg=44.72ms      min=0s        med=2µs      max=155.9ms   p(90)=141.17ms   p(95)=148.46ms   
     http_req_connecting............: avg=8.72ms       min=0s        med=0s       max=34.39ms   p(90)=30.02ms    p(95)=33.85ms    
     http_req_duration..............: avg=30.54s       min=4.57s     med=30.74s   max=1m0s      p(90)=59.17s     p(95)=59.66s     
       { expected_response:true }...: avg=29.02s       min=4.57s     med=30.26s   max=59.97s    p(90)=59.02s     p(95)=59.34s     
     http_req_failed................: 6.43%  ✓ 13       ✗ 189 
     http_req_receiving.............: avg=96.28µs      min=0s        med=80µs     max=1.28ms    p(90)=151.69µs   p(95)=200.59µs   
     http_req_sending...............: avg=170.51µs     min=25µs      med=147.5µs  max=1.12ms    p(90)=316.5µs    p(95)=415.49µs   
     http_req_tls_handshaking.......: avg=17.55ms      min=0s        med=0s       max=72.09ms   p(90)=57.8ms     p(95)=64.05ms    
     http_req_waiting...............: avg=30.54s       min=4.57s     med=30.74s   max=1m0s      p(90)=59.17s     p(95)=59.66s     
     http_reqs......................: 202    1.965713/s
     iteration_duration.............: avg=1m28s        min=1m4s      med=1m34s    max=1m42s     p(90)=1m42s      p(95)=1m42s      
     iterations.....................: 70     0.681188/s
     vus............................: 11     min=11     max=70
running (1m42.8s), 00/70 VUs, 70 complete and 0 interrupted iterations
api_test ✓ [======================================] 70 VUs  1m42.8s/2m0s  70/70 iters, 1 per VU</t>
  </si>
  <si>
    <t>creator-juristic</t>
  </si>
  <si>
    <t>✓ creator user signup returns 2xx
✓ register creator returns 2xx
     checks.........................: 100.00% ✓ 11872     ✗ 0    
     data_received..................: 13 MB   22 kB/s
     data_sent......................: 6.4 MB  11 kB/s
     dropped_iterations.............: 65      0.108254/s
     http_req_blocked...............: avg=425.72µs min=0s       med=1µs      max=300.95ms p(90)=2µs   p(95)=3µs  
     http_req_connecting............: avg=181.91µs min=0s       med=0s       max=163.71ms p(90)=0s    p(95)=0s   
     http_req_duration..............: avg=803.74ms min=15.79ms  med=318.02ms max=15.43s   p(90)=1.18s p(95)=3.8s 
       { expected_response:true }...: avg=803.74ms min=15.79ms  med=318.02ms max=15.43s   p(90)=1.18s p(95)=3.8s 
     http_req_failed................: 0.00%   ✓ 0         ✗ 11872
     http_req_receiving.............: avg=107.25µs min=9µs      med=84µs     max=4.58ms   p(90)=197µs p(95)=257µs
     http_req_sending...............: avg=359.2µs  min=21µs     med=361µs    max=4.55ms   p(90)=539µs p(95)=595µs
     http_req_tls_handshaking.......: avg=197.25µs min=0s       med=0s       max=106.31ms p(90)=0s    p(95)=0s   
     http_req_waiting...............: avg=803.27ms min=15.46ms  med=317.58ms max=15.42s   p(90)=1.18s p(95)=3.8s 
     http_reqs......................: 11872   19.772174/s
     iteration_duration.............: avg=1.6s     min=245.77ms med=689.47ms max=24.37s   p(90)=3.34s p(95)=8.14s
     iterations.....................: 5936    9.886087/s
     vus............................: 8       min=2       max=113
running (10m00.4s), 000/115 VUs, 5936 complete and 0 interrupted iterations
api_test ✓ [======================================] 000/115 VUs  10m0s  10.00 iters/s</t>
  </si>
  <si>
    <t>3D</t>
  </si>
  <si>
    <t>creator-juristic_TC001_sit_20260904_114736.html</t>
  </si>
  <si>
    <t>✓ login returns 2xx
✓ ai-generate-3d accepted
✓ delete AI task returns expected status
     ai_3d_requests.................: 2       0.231001/s
     ai_3d_response_time............: avg=6328.5175 min=6039.217 med=6328.5175 max=6617.818 p(90)=6559.9579 p(95)=6588.88795
     ai_3d_success_201..............: 2       0.231001/s
     checks.........................: 100.00% ✓ 6        ✗ 0  
     data_received..................: 14 kB   1.7 kB/s
     data_sent......................: 287 kB  33 kB/s
     http_req_blocked...............: avg=116.19ms  min=0s       med=2µs       max=350.48ms p(90)=348.57ms  p(95)=349.53ms  
     http_req_connecting............: avg=5.07ms    min=0s       med=0s        max=17.73ms  p(90)=15.21ms   p(95)=16.47ms   
     http_req_duration..............: avg=2.62s     min=406.58ms med=1.14s     max=6.61s    p(90)=6.32s     p(95)=6.47s     
       { expected_response:true }...: avg=2.95s     min=406.58ms med=1.28s     max=6.61s    p(90)=6.38s     p(95)=6.5s      
     http_req_failed................: 16.66%  ✓ 1        ✗ 5  
     http_req_receiving.............: avg=130.33µs  min=39µs     med=103.5µs   max=334µs    p(90)=222.5µs   p(95)=278.25µs  
     http_req_sending...............: avg=4.92ms    min=166µs    med=1.13ms    max=15.03ms  p(90)=13.43ms   p(95)=14.23ms   
     http_req_tls_handshaking.......: avg=7.7ms     min=0s       med=0s        max=23.1ms   p(90)=23.1ms    p(95)=23.1ms    
     http_req_waiting...............: avg=2.62s     min=404.46ms med=1.13s     max=6.6s     p(90)=6.31s     p(95)=6.46s     
     http_reqs......................: 6       0.693002/s
     iteration_duration.............: avg=8.22s     min=7.8s     med=8.22s     max=8.65s    p(90)=8.57s     p(95)=8.61s     
     iterations.....................: 2       0.231001/s
     vus............................: 1       min=1      max=2
running (0m08.7s), 0/2 VUs, 2 complete and 0 interrupted iterations
api_test ✓ [======================================] 2 VUs  0m08.7s/1m0s  2/2 iters, 1 per VU</t>
  </si>
  <si>
    <t>✓ creator user signup returns 2xx
✓ register creator returns 2xx
     checks.........................: 100.00% ✓ 20        ✗ 0   
     data_received..................: 67 kB   41 kB/s
     data_sent......................: 28 kB   17 kB/s
     http_req_blocked...............: avg=29.49ms  min=0s      med=26.21ms  max=64.05ms p(90)=61.95ms p(95)=63.48ms 
     http_req_connecting............: avg=6.87ms   min=0s      med=5.26ms   max=14.24ms p(90)=14.16ms p(95)=14.24ms 
     http_req_duration..............: avg=741.58ms min=19.66ms med=780.71ms max=1.54s   p(90)=1.52s   p(95)=1.52s   
       { expected_response:true }...: avg=741.58ms min=19.66ms med=780.71ms max=1.54s   p(90)=1.52s   p(95)=1.52s   
     http_req_failed................: 0.00%   ✓ 0         ✗ 20  
     http_req_receiving.............: avg=82.1µs   min=26µs    med=59.5µs   max=270µs   p(90)=136.1µs p(95)=152.19µs
     http_req_sending...............: avg=201.4µs  min=46µs    med=147µs    max=434µs   p(90)=417µs   p(95)=426.4µs 
     http_req_tls_handshaking.......: avg=11.01ms  min=0s      med=8.76ms   max=26.95ms p(90)=24.83ms p(95)=25.77ms 
     http_req_waiting...............: avg=741.3ms  min=19.3ms  med=780.32ms max=1.54s   p(90)=1.52s   p(95)=1.52s   
     http_reqs......................: 20      12.279016/s
     iteration_duration.............: avg=1.54s    min=1.27s   med=1.6s     max=1.62s   p(90)=1.62s   p(95)=1.62s   
     iterations.....................: 10      6.139508/s
     vus............................: 10      min=10      max=10
running (0m01.6s), 00/10 VUs, 10 complete and 0 interrupted iterations
api_test ✓ [======================================] 10 VUs  0m01.6s/1m0s  10/10 iters, 1 per VU</t>
  </si>
  <si>
    <t>creator-juristic_TC002_sit_20260906_184941.html</t>
  </si>
  <si>
    <r>
      <rPr>
        <rFont val="Calibri"/>
        <b/>
        <color theme="1"/>
        <sz val="11.0"/>
      </rPr>
      <t>ภาพรวม:</t>
    </r>
    <r>
      <rPr>
        <rFont val="Calibri"/>
        <color theme="1"/>
        <sz val="11.0"/>
      </rPr>
      <t xml:space="preserve"> ผ่าน (PASS) จนถึง 250 VUs; ประสิทธิภาพเริ่มลดลงที่ 300 VUs
</t>
    </r>
    <r>
      <rPr>
        <rFont val="Calibri"/>
        <b/>
        <color theme="1"/>
        <sz val="11.0"/>
      </rPr>
      <t>VUs        Success Rate        P95           Result</t>
    </r>
    <r>
      <rPr>
        <rFont val="Calibri"/>
        <color theme="1"/>
        <sz val="11.0"/>
      </rPr>
      <t xml:space="preserve">
100           100%                  11.31s        PASS
250           100%                  21.23s        PASS
300           96.00%               24.68s        FAIL
</t>
    </r>
    <r>
      <rPr>
        <rFont val="Calibri"/>
        <b/>
        <color theme="1"/>
        <sz val="11.0"/>
      </rPr>
      <t>สรุป:</t>
    </r>
    <r>
      <rPr>
        <rFont val="Calibri"/>
        <color theme="1"/>
        <sz val="11.0"/>
      </rPr>
      <t xml:space="preserve">
Creator-Juristic สามารถรองรับผู้ใช้งานพร้อมกันได้สูงสุด 250 VUs ด้วยความสำเร็จ 100% 
ที่ 300 VUs ความสำเร็จลดลงเหลือ 96.00% โดยมี 503 Service Unavailable errors ซึ่งแสดงว่าประสิทธิภาพลดลงเมื่อเกิน 250 VUs
ผลลัพธ์สอดคล้องกับ Creator-Individual เนื่องจากทั้งสอง flows ใช้ขั้นตอนการลงทะเบียนเดียวกันแต่ต่างกันที่ payload
</t>
    </r>
    <r>
      <rPr>
        <rFont val="Calibri"/>
        <b/>
        <color theme="1"/>
        <sz val="11.0"/>
      </rPr>
      <t xml:space="preserve">คำแนะนำ: </t>
    </r>
    <r>
      <rPr>
        <rFont val="Calibri"/>
        <color theme="1"/>
        <sz val="11.0"/>
      </rPr>
      <t xml:space="preserve">
ความจุสูงสุดที่เสถียร: 250 VUs
ความจุที่แนะนำให้ใช้งาน: 200 VUs
เป้าหมาย 1,000 VUs: ไม่บรรลุเป้าหมาย</t>
    </r>
  </si>
  <si>
    <t>✓ creator user signup returns 2xx
✓ register creator returns 2xx
     checks.........................: 100.00% ✓ 500       ✗ 0    
     data_received..................: 1.7 MB  74 kB/s
     data_sent......................: 709 kB  31 kB/s
     http_req_blocked...............: avg=222.33ms min=0s      med=139.21ms max=919.48ms p(90)=448.29ms p(95)=729.8ms 
     http_req_connecting............: avg=76.49ms  min=0s      med=67.77ms  max=172.84ms p(90)=171.43ms p(95)=172.34ms
     http_req_duration..............: avg=9.75s    min=19.71ms med=9.22s    max=22.21s   p(90)=19.41s   p(95)=21.22s  
       { expected_response:true }...: avg=9.75s    min=19.71ms med=9.22s    max=22.21s   p(90)=19.41s   p(95)=21.22s  
     http_req_failed................: 0.00%   ✓ 0         ✗ 500  
     http_req_receiving.............: avg=88.3µs   min=9µs     med=64µs     max=635µs    p(90)=175µs    p(95)=226.74µs
     http_req_sending...............: avg=212.64µs min=25µs    med=84.5µs   max=6.06ms   p(90)=425.1µs  p(95)=463.24µs
     http_req_tls_handshaking.......: avg=139.13ms min=0s      med=63.45ms  max=732.95ms p(90)=282.81ms p(95)=566.17ms
     http_req_waiting...............: avg=9.75s    min=16.89ms med=9.22s    max=22.21s   p(90)=19.41s   p(95)=21.22s  
     http_reqs......................: 500     21.987548/s
     iteration_duration.............: avg=19.94s   min=10.82s  med=21.48s   max=22.73s   p(90)=22.7s    p(95)=22.73s  
     iterations.....................: 250     10.993774/s
     vus............................: 76      min=76      max=250
running (0m22.7s), 000/250 VUs, 250 complete and 0 interrupted iterations
api_test ✓ [======================================] 250 VUs  0m22.7s/5m0s  250/250 iters, 1 per VU</t>
  </si>
  <si>
    <t>creator-juristic_TC003_sit_20260906_190211.html</t>
  </si>
  <si>
    <t>✓ creator user signup returns 2xx
✗ register creator returns 2xx
↳  92% — ✓ 276 / ✗ 24
     checks.........................: 96.00% ✓ 576       ✗ 24   
     data_received..................: 2.0 MB 76 kB/s
     data_sent......................: 851 kB 32 kB/s
     http_req_blocked...............: avg=236.02ms min=0s      med=96.32ms max=1.29s    p(90)=759.04ms p(95)=814.85ms
     http_req_connecting............: avg=43.47ms  min=0s      med=19.18ms max=133.92ms p(90)=113.82ms p(95)=120.79ms
     http_req_duration..............: avg=11.31s   min=8.22ms  med=10.72s  max=25.46s   p(90)=23.76s   p(95)=24.68s  
       { expected_response:true }...: avg=11.78s   min=17.57ms med=11.07s  max=25.46s   p(90)=23.76s   p(95)=24.76s  
     http_req_failed................: 4.00%  ✓ 24        ✗ 576  
     http_req_receiving.............: avg=192.45µs min=11µs    med=73µs    max=3.84ms   p(90)=212.1µs  p(95)=858.79µs
     http_req_sending...............: avg=180.91µs min=26µs    med=86.5µs  max=1.68ms   p(90)=421.2µs  p(95)=510µs   
     http_req_tls_handshaking.......: avg=149.26ms min=0s      med=32.32ms max=1.08s    p(90)=587.07ms p(95)=638.17ms
     http_req_waiting...............: avg=11.31s   min=7.88ms  med=10.72s  max=25.46s   p(90)=23.76s   p(95)=24.68s  
     http_reqs......................: 600    22.645701/s
     iteration_duration.............: avg=23.1s    min=12.33s  med=24.8s   max=26.49s   p(90)=25.92s   p(95)=25.96s  
     iterations.....................: 300    11.322851/s
     vus............................: 24     min=24      max=300
running (0m26.5s), 000/300 VUs, 300 complete and 0 interrupted iterations
api_test ✓ [======================================] 300 VUs  0m26.5s/5m0s  300/300 iters, 1 per VU</t>
  </si>
  <si>
    <r>
      <rPr>
        <rFont val="Calibri"/>
        <b/>
        <color theme="1"/>
        <sz val="11.0"/>
      </rPr>
      <t>ภาพรวม:</t>
    </r>
    <r>
      <rPr>
        <rFont val="Calibri"/>
        <color theme="1"/>
        <sz val="11.0"/>
      </rPr>
      <t xml:space="preserve"> ผ่าน (PASS) 
</t>
    </r>
    <r>
      <rPr>
        <rFont val="Calibri"/>
        <b/>
        <color theme="1"/>
        <sz val="11.0"/>
      </rPr>
      <t>สรุป:</t>
    </r>
    <r>
      <rPr>
        <rFont val="Calibri"/>
        <color theme="1"/>
        <sz val="11.0"/>
      </rPr>
      <t xml:space="preserve">
Creator-Juristic สามารถรองรับ 10 flows/sec เป็นเวลา 10 นาทีได้สำเร็จ ด้วยความสำเร็จ 100% และไม่มี HTTP errors เวลาตอบสนอง P95 คือ 3.44 วินาที แสดงถึงประสิทธิภาพที่ดีภายใต้โหลดที่ต่อเนื่อง
</t>
    </r>
    <r>
      <rPr>
        <rFont val="Calibri"/>
        <b/>
        <color theme="1"/>
        <sz val="11.0"/>
      </rPr>
      <t>คำแนะนำ:</t>
    </r>
    <r>
      <rPr>
        <rFont val="Calibri"/>
        <color theme="1"/>
        <sz val="11.0"/>
      </rPr>
      <t xml:space="preserve"> 10 flows/sec
ผลลัพธ์สอดคล้องกับ Creator-Individual โดยทั้งสองสำเร็จ 100% และมีประสิทธิภาพใกล้เคียงกันภายใต้โหลดที่ต่อเนื่อง</t>
    </r>
  </si>
  <si>
    <t>✓ login returns 2xx
✓ ai-generate-3d accepted
✓ delete AI task returns expected status
     ai_3d_requests.................: 40      0.623975/s
     ai_3d_response_time............: avg=30941.010825 min=22601.362 med=30936.3745 max=33216.969 p(90)=32185.4872 p(95)=32492.08905
     ai_3d_success_201..............: 40      0.623975/s
     checks.........................: 100.00% ✓ 120      ✗ 0   
     data_received..................: 281 kB  4.4 kB/s
     data_sent......................: 5.7 MB  90 kB/s
     http_req_blocked...............: avg=62.84ms      min=0s        med=2µs        max=379.46ms  p(90)=171.06ms   p(95)=313.04ms   
     http_req_connecting............: avg=12.67ms      min=0s        med=0s         max=117.65ms  p(90)=21.9ms     p(95)=114.12ms   
     http_req_duration..............: avg=20.9s        min=1.99s     med=28.79s     max=33.21s    p(90)=31.29s     p(95)=32.03s     
       { expected_response:true }...: avg=20.88s       min=1.99s     med=28.8s      max=33.21s    p(90)=31.29s     p(95)=32.03s     
     http_req_failed................: 0.83%   ✓ 1        ✗ 119 
     http_req_receiving.............: avg=99.59µs      min=14µs      med=97µs       max=428µs     p(90)=156.2µs    p(95)=189.54µs   
     http_req_sending...............: avg=5.77ms       min=33µs      med=141µs      max=36.57ms   p(90)=17.89ms    p(95)=21.61ms    
     http_req_tls_handshaking.......: avg=44.21ms      min=0s        med=0s         max=336.39ms  p(90)=125.17ms   p(95)=277.05ms   
     http_req_waiting...............: avg=20.89s       min=1.99s     med=28.79s     max=33.2s     p(90)=31.27s     p(95)=32.01s     
     http_reqs......................: 120     1.871925/s
     iteration_duration.............: avg=1m2s         min=48.14s    med=1m3s       max=1m4s      p(90)=1m4s       p(95)=1m4s       
     iterations.....................: 40      0.623975/s
     vus............................: 13      min=13     max=40
running (1m04.1s), 00/40 VUs, 40 complete and 0 interrupted iterations
api_test ✓ [======================================] 40 VUs  1m04.1s/2m0s  40/40 iters, 1 per VU</t>
  </si>
  <si>
    <t>✓ login returns 2xx
✗ ai-generate-3d accepted
↳  82% — ✓ 41 / ✗ 9
✓ delete AI task returns expected status
     ai_3d_requests.................: 50     0.643266/s
     ai_3d_response_time............: avg=38880.62976 min=29606.709 med=34422.019 max=60070.749 p(90)=60055.8828 p(95)=60058.50695
     ai_3d_success_201..............: 41     0.527478/s
     checks.........................: 93.61% ✓ 132      ✗ 9   
     data_received..................: 346 kB 4.5 kB/s
     data_sent......................: 7.2 MB 92 kB/s
     http_req_blocked...............: avg=54.21ms     min=0s        med=1µs       max=173.2ms   p(90)=163ms      p(95)=168.26ms   
     http_req_connecting............: avg=8.34ms      min=0s        med=0s        max=102.67ms  p(90)=20.77ms    p(95)=21.99ms    
     http_req_duration..............: avg=24.94s      min=2.77s     med=31.3s     max=1m0s      p(90)=38.64s     p(95)=1m0s       
       { expected_response:true }...: avg=22.54s      min=2.77s     med=31.21s    max=38.74s    p(90)=35.34s     p(95)=38.57s     
     http_req_failed................: 6.38%  ✓ 9        ✗ 132 
     http_req_receiving.............: avg=93.1µs      min=17µs      med=77µs      max=748µs     p(90)=166µs      p(95)=199µs      
     http_req_sending...............: avg=6.83ms      min=23µs      med=145µs     max=94.85ms   p(90)=18.16ms    p(95)=20.81ms    
     http_req_tls_handshaking.......: avg=41.04ms     min=0s        med=0s        max=138.87ms  p(90)=126.74ms   p(95)=133.12ms   
     http_req_waiting...............: avg=24.93s      min=2.77s     med=31.3s     max=1m0s      p(90)=38.64s     p(95)=1m0s       
     http_reqs......................: 141    1.814011/s
     iteration_duration.............: avg=1m10s       min=1m4s      med=1m9s      max=1m17s     p(90)=1m17s      p(95)=1m17s      
     iterations.....................: 50     0.643266/s
     vus............................: 9      min=9      max=50
running (1m17.7s), 00/50 VUs, 50 complete and 0 interrupted iterations
api_test ✓ [======================================] 50 VUs  1m17.7s/2m0s  50/50 iters, 1 per VU
✓ login returns 2xx
     ✗ ai-generate-3d accepted
      ↳  66% — ✓ 40 / ✗ 20
     ✓ delete AI task returns expected status
     ai_3d_requests.................: 60     0.715894/s
     ai_3d_response_time............: avg=45114.190567 min=30098.478 med=34014.4345 max=60140.275 p(90)=60070.3652 p(95)=60111.9755
     ai_3d_success_201..............: 40     0.477263/s
     checks.........................: 87.50% ✓ 140      ✗ 20  
     data_received..................: 411 kB 4.9 kB/s
     data_sent......................: 8.6 MB 103 kB/s
     http_req_blocked...............: avg=140.91ms     min=0s        med=1µs        max=401.94ms  p(90)=388.5ms    p(95)=395.2ms   
     http_req_connecting............: avg=9.26ms       min=0s        med=0s         max=36.39ms   p(90)=35.61ms    p(95)=35.93ms   
     http_req_duration..............: avg=27.14s       min=4.2s      med=31.35s     max=1m0s      p(90)=1m0s       p(95)=1m0s      
       { expected_response:true }...: avg=22.36s       min=4.2s      med=30.75s     max=58.88s    p(90)=44.77s     p(95)=57.62s    
     http_req_failed................: 13.12% ✓ 21       ✗ 139 
     http_req_receiving.............: avg=104.36µs     min=20µs      med=64.5µs     max=3.16ms    p(90)=140.2µs    p(95)=182.69µs  
     http_req_sending...............: avg=9.57ms       min=27µs      med=122.5µs    max=109.21ms  p(90)=23.98ms    p(95)=27.2ms    
     http_req_tls_handshaking.......: avg=18.06ms      min=0s        med=0s         max=68.27ms   p(90)=54.51ms    p(95)=58.71ms   
     http_req_waiting...............: avg=27.13s       min=4.2s      med=31.32s     max=1m0s      p(90)=1m0s       p(95)=1m0s      
     http_reqs......................: 160    1.909051/s
     iteration_duration.............: avg=1m12s        min=1m5s      med=1m8s       max=1m23s     p(90)=1m23s      p(95)=1m23s     
     iterations.....................: 60     0.715894/s
     vus............................: 15     min=15     max=60
running (1m23.8s), 00/60 VUs, 60 complete and 0 interrupted iterations
api_test ✓ [======================================] 60 VUs  1m23.8s/2m0s  60/60 iters, 1 per VU
✓ login returns 2xx
     ✗ ai-generate-3d accepted
      ↳  55% — ✓ 39 / ✗ 31
     ✓ delete AI task returns expected status
     ai_3d_requests.................: 70     0.763406/s
     ai_3d_response_time............: avg=46111.944729 min=32673.116 med=36589.3925 max=60146.285 p(90)=60080.5989 p(95)=60139.9686
     ai_3d_success_201..............: 39     0.425326/s
     checks.........................: 82.68% ✓ 148      ✗ 31  
     data_received..................: 476 kB 5.2 kB/s
     data_sent......................: 10 MB  110 kB/s
     http_req_blocked...............: avg=39.55ms      min=0s        med=2µs        max=139.62ms  p(90)=114.43ms   p(95)=133.44ms  
     http_req_connecting............: avg=12.29ms      min=0s        med=0s         max=48.45ms   p(90)=39.33ms    p(95)=47.67ms   
     http_req_duration..............: avg=30.08s       min=3.58s     med=34.04s     max=1m0s      p(90)=1m0s       p(95)=1m0s      
       { expected_response:true }...: avg=23.8s        min=3.58s     med=32.19s     max=51.32s    p(90)=50.96s     p(95)=51.14s    
     http_req_failed................: 17.31% ✓ 31       ✗ 148 
     http_req_receiving.............: avg=105.59µs     min=15µs      med=89µs       max=1.79ms    p(90)=152µs      p(95)=170.29µs  
     http_req_sending...............: avg=7.3ms        min=22µs      med=238µs      max=108.63ms  p(90)=18.85ms    p(95)=22.56ms   
     http_req_tls_handshaking.......: avg=17.93ms      min=0s        med=0s         max=70.92ms   p(90)=51.15ms    p(95)=61.81ms   
     http_req_waiting...............: avg=30.08s       min=3.58s     med=34.03s     max=1m0s      p(90)=1m0s       p(95)=1m0s      
     http_reqs......................: 179    1.952139/s
     iteration_duration.............: avg=1m17s        min=1m4s      med=1m11s      max=1m31s     p(90)=1m31s      p(95)=1m31s     
     iterations.....................: 70     0.763406/s
     vus............................: 18     min=18     max=70
running (1m31.7s), 00/70 VUs, 70 complete and 0 interrupted iterations
api_test ✓ [======================================] 70 VUs  1m31.7s/2m0s  70/70 iters, 1 per VU</t>
  </si>
  <si>
    <t>ai-generate-content_TC001_sit_20260903_180402.html</t>
  </si>
  <si>
    <t>✓ creator user signup returns 2xx
✓ register creator returns 2xx
     checks.........................: 100.00% ✓ 11868     ✗ 0    
     data_received..................: 13 MB   22 kB/s
     data_sent......................: 6.2 MB  10 kB/s
     dropped_iterations.............: 67      0.111596/s
     http_req_blocked...............: avg=416.3µs  min=0s       med=1µs      max=122.16ms p(90)=2µs   p(95)=2µs     
     http_req_connecting............: avg=205.57µs min=0s       med=0s       max=101.74ms p(90)=0s    p(95)=0s      
     http_req_duration..............: avg=791.79ms min=16.38ms  med=340.13ms max=13.81s   p(90)=1.58s p(95)=3.44s   
       { expected_response:true }...: avg=791.79ms min=16.38ms  med=340.13ms max=13.81s   p(90)=1.58s p(95)=3.44s   
     http_req_failed................: 0.00%   ✓ 0         ✗ 11868
     http_req_receiving.............: avg=102.59µs min=6µs      med=79µs     max=4.48ms   p(90)=199µs p(95)=259µs   
     http_req_sending...............: avg=369.53µs min=26µs     med=366µs    max=3.26ms   p(90)=548µs p(95)=642.64µs
     http_req_tls_handshaking.......: avg=203.13µs min=0s       med=0s       max=105.2ms  p(90)=0s    p(95)=0s      
     http_req_waiting...............: avg=791.32ms min=16.07ms  med=339.56ms max=13.81s   p(90)=1.58s p(95)=3.44s   
     http_reqs......................: 11868   19.767412/s
     iteration_duration.............: avg=1.58s    min=245.43ms med=690.97ms max=21.59s   p(90)=4.22s p(95)=7.75s   
     iterations.....................: 5934    9.883706/s
     vus............................: 7       min=2       max=114
running (10m00.4s), 000/117 VUs, 5934 complete and 0 interrupted iterations
api_test ✓ [======================================] 000/117 VUs  10m0s  10.00 iters/s</t>
  </si>
  <si>
    <t>ai-generate-content_TC002_sit_20260904_001639.html</t>
  </si>
  <si>
    <r>
      <rPr>
        <rFont val="Calibri"/>
        <b/>
        <color theme="1"/>
        <sz val="11.0"/>
      </rPr>
      <t xml:space="preserve">ภาพรวม: </t>
    </r>
    <r>
      <rPr>
        <rFont val="Calibri"/>
        <color theme="1"/>
        <sz val="11.0"/>
      </rPr>
      <t xml:space="preserve">ผ่าน (PASS) แต่ประสิทธิภาพลดลงภายใต้โหลดที่สูงขึ้น
</t>
    </r>
    <r>
      <rPr>
        <rFont val="Calibri"/>
        <b/>
        <color theme="1"/>
        <sz val="11.0"/>
      </rPr>
      <t>VUs        Success Rate        P95           Result</t>
    </r>
    <r>
      <rPr>
        <rFont val="Calibri"/>
        <color theme="1"/>
        <sz val="11.0"/>
      </rPr>
      <t xml:space="preserve">
20           100%                   13.65s        PASS
40           100%                   25.92s        PASS
60           100%                   52.88s        PASS
70           100%                   53.10s        PASS
80           60.00%                60.00s        FAIL
</t>
    </r>
    <r>
      <rPr>
        <rFont val="Calibri"/>
        <b/>
        <color theme="1"/>
        <sz val="11.0"/>
      </rPr>
      <t>สรุป:</t>
    </r>
    <r>
      <rPr>
        <rFont val="Calibri"/>
        <color theme="1"/>
        <sz val="11.0"/>
      </rPr>
      <t xml:space="preserve">
AI Generate Content สามารถรับคำขอได้สูงสุด ~70 VUs แต่เมื่อโหลดเพิ่มขึ้น ความล่าช้าเริ่มเพิ่มขึ้นอย่างมาก และที่ 80 VUs เริ่มเกินขีดความสามารถในการรองรับ ส่งผลให้อัตราความสำเร็จลดลง
</t>
    </r>
    <r>
      <rPr>
        <rFont val="Calibri"/>
        <b/>
        <color theme="1"/>
        <sz val="11.0"/>
      </rPr>
      <t>คำแนะนำ:</t>
    </r>
    <r>
      <rPr>
        <rFont val="Calibri"/>
        <color theme="1"/>
        <sz val="11.0"/>
      </rPr>
      <t xml:space="preserve"> สูงสุด 70 VUs 
แนะนำให้ใช้งานที่ ≤40 VUs หากต้องการรักษาเวลาตอบสนองให้อยู่ในระดับที่เหมาะสม</t>
    </r>
  </si>
  <si>
    <t>ai-generate-2d_TC001_sit_20260903_181231.html</t>
  </si>
  <si>
    <t>ai-generate-2d_TC002_sit_20260904_005557.html</t>
  </si>
  <si>
    <r>
      <rPr>
        <rFont val="Calibri"/>
        <b/>
        <color theme="1"/>
        <sz val="11.0"/>
      </rPr>
      <t xml:space="preserve">ภาพรวม: </t>
    </r>
    <r>
      <rPr>
        <rFont val="Calibri"/>
        <color theme="1"/>
        <sz val="11.0"/>
      </rPr>
      <t xml:space="preserve">ผ่าน (PASS) แต่ประสิทธิภาพลดลงอย่างมากเมื่อโหลดสูงขึ้น
</t>
    </r>
    <r>
      <rPr>
        <rFont val="Calibri"/>
        <b/>
        <color theme="1"/>
        <sz val="11.0"/>
      </rPr>
      <t>VUs        Success Rate        P95           Result</t>
    </r>
    <r>
      <rPr>
        <rFont val="Calibri"/>
        <color theme="1"/>
        <sz val="11.0"/>
      </rPr>
      <t xml:space="preserve">
20           100%                   15.27s        PASS
40           100%                   28.45s        PASS
60           100%                   57.75s        PASS
70           88.57%                60.00s        FAIL
</t>
    </r>
    <r>
      <rPr>
        <rFont val="Calibri"/>
        <b/>
        <color theme="1"/>
        <sz val="11.0"/>
      </rPr>
      <t>สรุป:</t>
    </r>
    <r>
      <rPr>
        <rFont val="Calibri"/>
        <color theme="1"/>
        <sz val="11.0"/>
      </rPr>
      <t xml:space="preserve">
AI Generate 2D สามารถรับคำขอได้สูงสุด ~60 VUs แต่เมื่อโหลดเพิ่มขึ้น ความล่าช้าเพิ่มขึ้นอย่างมาก และที่ 70 VUs เกิด Timeout ส่งผลให้อัตราความสำเร็จลดลงต่ำกว่า 90%
</t>
    </r>
    <r>
      <rPr>
        <rFont val="Calibri"/>
        <b/>
        <color theme="1"/>
        <sz val="11.0"/>
      </rPr>
      <t xml:space="preserve">คำแนะนำ: </t>
    </r>
    <r>
      <rPr>
        <rFont val="Calibri"/>
        <color theme="1"/>
        <sz val="11.0"/>
      </rPr>
      <t>สูงสุด 60 VUs
แนะนำให้ใช้งานที่ ≤40 VUs เพื่อประสิทธิภาพและความเสถียรที่ดีขึ้น</t>
    </r>
  </si>
  <si>
    <t>ai-generate-3d_TC001_sit_20260903_181914.html</t>
  </si>
  <si>
    <t>ai-generate-3d_TC002_sit_20260904_014200.html</t>
  </si>
  <si>
    <r>
      <rPr>
        <rFont val="Calibri"/>
        <b/>
        <color theme="1"/>
        <sz val="11.0"/>
      </rPr>
      <t>ภาพรวม:</t>
    </r>
    <r>
      <rPr>
        <rFont val="Calibri"/>
        <color theme="1"/>
        <sz val="11.0"/>
      </rPr>
      <t xml:space="preserve"> ผ่าน (PASS) ที่โหลดต่ำ แต่ความสามารถในการรองรับมีจำกัดและลดลงเมื่อเกิน 40 VUs
20 VUs: สำเร็จ 100%, P95 18.04s
40 VUs: สำเร็จ 100%, P95 32.49s
50 VUs: สำเร็จ 82%, P95 60.06s (1 นาที)
60 VUs: สำเร็จ 66.67%, P95 60.11s (1 นาที)
70 VUs: สำเร็จ 55.71%, P95 60.14s (1 นาที)
</t>
    </r>
    <r>
      <rPr>
        <rFont val="Calibri"/>
        <b/>
        <color theme="1"/>
        <sz val="11.0"/>
      </rPr>
      <t>VUs        Success Rate        P95           Result</t>
    </r>
    <r>
      <rPr>
        <rFont val="Calibri"/>
        <color theme="1"/>
        <sz val="11.0"/>
      </rPr>
      <t xml:space="preserve">
20           100%                   18.04s        PASS
40           100%                   32.49s        PASS
50           82.00%                60.06s        FAIL
60           66.67%                60.11s        FAIL
70           55.71%                60.14s        FAIL
</t>
    </r>
    <r>
      <rPr>
        <rFont val="Calibri"/>
        <b/>
        <color theme="1"/>
        <sz val="11.0"/>
      </rPr>
      <t>สรุป:</t>
    </r>
    <r>
      <rPr>
        <rFont val="Calibri"/>
        <color theme="1"/>
        <sz val="11.0"/>
      </rPr>
      <t xml:space="preserve">
AI Generate 3D สามารถรับคำขอได้สูงสุด ~40 VUs แต่ที่ 50 VUs เกินขีดจำกัด 504 Gateway Timeout ส่งผลให้อัตราความสำเร็จลดลงเหลือ 82% และลดลงต่อเนื่องเมื่อโหลดสูงขึ้น
</t>
    </r>
    <r>
      <rPr>
        <rFont val="Calibri"/>
        <b/>
        <color theme="1"/>
        <sz val="11.0"/>
      </rPr>
      <t xml:space="preserve">คำแนะนำ: </t>
    </r>
    <r>
      <rPr>
        <rFont val="Calibri"/>
        <color theme="1"/>
        <sz val="11.0"/>
      </rPr>
      <t>สูงสุด 40 VUs
แนะนำให้ใช้งานที่ ≤20 VUs เพื่อประสิทธิภาพและความเสถียรที่ดีขึ้น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</si>
</sst>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&quot;/&quot;mm&quot;/&quot;yy"/>
  </numFmts>
  <fonts count="8">
    <font>
      <sz val="11.0"/>
      <color theme="1"/>
      <name val="Calibri"/>
      <scheme val="minor"/>
    </font>
    <font>
      <b/>
      <sz val="15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sz val="11.0"/>
      <color theme="1"/>
      <name val="Calibri"/>
    </font>
    <font>
      <u/>
      <sz val="11.0"/>
      <color theme="1"/>
      <name val="Calibri"/>
    </font>
    <font>
      <u/>
      <sz val="11.0"/>
      <color theme="1"/>
      <name val="Calibri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5">
    <border/>
    <border>
      <left/>
      <top/>
      <bottom/>
    </border>
    <border>
      <top/>
      <bottom/>
    </border>
    <border>
      <right/>
      <top/>
      <bottom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 vertical="center"/>
    </xf>
    <xf borderId="2" fillId="0" fontId="1" numFmtId="0" xfId="0" applyAlignment="1" applyBorder="1" applyFont="1">
      <alignment vertical="center"/>
    </xf>
    <xf borderId="2" fillId="0" fontId="1" numFmtId="0" xfId="0" applyAlignment="1" applyBorder="1" applyFont="1">
      <alignment horizontal="center" vertical="center"/>
    </xf>
    <xf borderId="3" fillId="0" fontId="1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2" fillId="0" fontId="1" numFmtId="0" xfId="0" applyAlignment="1" applyBorder="1" applyFont="1">
      <alignment readingOrder="0" vertical="center"/>
    </xf>
    <xf borderId="2" fillId="0" fontId="0" numFmtId="0" xfId="0" applyAlignment="1" applyBorder="1" applyFont="1">
      <alignment readingOrder="0" vertical="center"/>
    </xf>
    <xf borderId="2" fillId="0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readingOrder="0" vertical="center"/>
    </xf>
    <xf borderId="0" fillId="0" fontId="3" numFmtId="49" xfId="0" applyAlignment="1" applyFont="1" applyNumberFormat="1">
      <alignment horizontal="center" readingOrder="0" shrinkToFit="0" vertical="center" wrapText="1"/>
    </xf>
    <xf borderId="4" fillId="0" fontId="4" numFmtId="0" xfId="0" applyAlignment="1" applyBorder="1" applyFont="1">
      <alignment shrinkToFit="0" vertical="center" wrapText="1"/>
    </xf>
    <xf borderId="4" fillId="0" fontId="4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readingOrder="0" shrinkToFit="0" vertical="center" wrapText="1"/>
    </xf>
    <xf borderId="4" fillId="0" fontId="4" numFmtId="164" xfId="0" applyAlignment="1" applyBorder="1" applyFont="1" applyNumberFormat="1">
      <alignment readingOrder="0" shrinkToFit="0" vertical="center" wrapText="1"/>
    </xf>
    <xf borderId="4" fillId="0" fontId="4" numFmtId="0" xfId="0" applyAlignment="1" applyBorder="1" applyFont="1">
      <alignment horizontal="center" readingOrder="0" shrinkToFit="0" vertical="center" wrapText="1"/>
    </xf>
    <xf borderId="4" fillId="0" fontId="5" numFmtId="0" xfId="0" applyAlignment="1" applyBorder="1" applyFont="1">
      <alignment readingOrder="0" shrinkToFit="0" vertical="center" wrapText="1"/>
    </xf>
    <xf borderId="4" fillId="0" fontId="4" numFmtId="10" xfId="0" applyAlignment="1" applyBorder="1" applyFont="1" applyNumberFormat="1">
      <alignment shrinkToFit="0" vertical="center" wrapText="1"/>
    </xf>
    <xf borderId="4" fillId="0" fontId="4" numFmtId="0" xfId="0" applyAlignment="1" applyBorder="1" applyFont="1">
      <alignment shrinkToFit="0" vertical="center" wrapText="1"/>
    </xf>
    <xf borderId="4" fillId="2" fontId="4" numFmtId="0" xfId="0" applyAlignment="1" applyBorder="1" applyFill="1" applyFont="1">
      <alignment horizontal="right" shrinkToFit="0" vertical="center" wrapText="1"/>
    </xf>
    <xf borderId="4" fillId="3" fontId="4" numFmtId="0" xfId="0" applyAlignment="1" applyBorder="1" applyFill="1" applyFont="1">
      <alignment horizontal="right" shrinkToFit="0" vertical="center" wrapText="1"/>
    </xf>
    <xf borderId="4" fillId="3" fontId="4" numFmtId="0" xfId="0" applyAlignment="1" applyBorder="1" applyFill="1" applyFont="1">
      <alignment horizontal="right" readingOrder="0" shrinkToFit="0" vertical="center" wrapText="1"/>
    </xf>
    <xf borderId="4" fillId="0" fontId="6" numFmtId="0" xfId="0" applyAlignment="1" applyBorder="1" applyFont="1">
      <alignment readingOrder="0" shrinkToFit="0" vertical="center" wrapText="1"/>
    </xf>
    <xf borderId="4" fillId="2" fontId="4" numFmtId="0" xfId="0" applyAlignment="1" applyBorder="1" applyFill="1" applyFont="1">
      <alignment horizontal="right" shrinkToFit="0" vertical="center" wrapText="1"/>
    </xf>
    <xf borderId="4" fillId="0" fontId="7" numFmtId="0" xfId="0" applyAlignment="1" applyBorder="1" applyFont="1">
      <alignment readingOrder="0" shrinkToFit="0" vertical="center" wrapText="1"/>
    </xf>
    <xf borderId="4" fillId="0" fontId="4" numFmtId="10" xfId="0" applyAlignment="1" applyBorder="1" applyFont="1" applyNumberFormat="1">
      <alignment shrinkToFit="0" vertical="center" wrapText="1"/>
    </xf>
    <xf borderId="4" fillId="0" fontId="4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73F6B"/>
          <bgColor rgb="FF373F6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73F6B"/>
        </left>
        <right style="thin">
          <color rgb="FF373F6B"/>
        </right>
        <top style="thin">
          <color rgb="FF373F6B"/>
        </top>
        <bottom style="thin">
          <color rgb="FF373F6B"/>
        </bottom>
      </border>
    </dxf>
  </dxfs>
  <tableStyles count="3">
    <tableStyle count="4" pivot="0" name="Test Summary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ignup Performance Metr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I Capacity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3:N18" displayName="Test_Summary" name="Test_Summary" id="1">
  <tableColumns count="14">
    <tableColumn name="Test Case ID" id="1"/>
    <tableColumn name="Test Type" id="2"/>
    <tableColumn name="API Flow" id="3"/>
    <tableColumn name="Environment" id="4"/>
    <tableColumn name="Test Date" id="5"/>
    <tableColumn name="Target VUs" id="6"/>
    <tableColumn name="Max VUs" id="7"/>
    <tableColumn name="Avg (ms)" id="8"/>
    <tableColumn name="P90 (ms)" id="9"/>
    <tableColumn name="P95 (ms)" id="10"/>
    <tableColumn name="Error Rate (%)" id="11"/>
    <tableColumn name="Result" id="12"/>
    <tableColumn name="HTML Report" id="13"/>
    <tableColumn name="Note" id="14"/>
  </tableColumns>
  <tableStyleInfo name="Test Summary-style" showColumnStripes="0" showFirstColumn="1" showLastColumn="1" showRowStripes="1"/>
</table>
</file>

<file path=xl/tables/table2.xml><?xml version="1.0" encoding="utf-8"?>
<table xmlns="http://schemas.openxmlformats.org/spreadsheetml/2006/main" ref="A3:T12" displayName="k6_RESULTS_HTML" name="k6_RESULTS_HTML" id="2">
  <tableColumns count="20">
    <tableColumn name="Test Case ID" id="1"/>
    <tableColumn name="Scenario" id="2"/>
    <tableColumn name="API Flow" id="3"/>
    <tableColumn name="Target VUs" id="4"/>
    <tableColumn name="Max VUs" id="5"/>
    <tableColumn name="Total Requests" id="6"/>
    <tableColumn name="Avg (ms)" id="7"/>
    <tableColumn name="Min (ms)" id="8"/>
    <tableColumn name="Median (ms)" id="9"/>
    <tableColumn name="Max (ms)" id="10"/>
    <tableColumn name="P90 (ms)" id="11"/>
    <tableColumn name="P95 (ms)" id="12"/>
    <tableColumn name="Error Rate (%)" id="13"/>
    <tableColumn name="Checks Passed" id="14"/>
    <tableColumn name="Checks Failed" id="15"/>
    <tableColumn name="Check Pass Rate (%)" id="16"/>
    <tableColumn name="Result" id="17"/>
    <tableColumn name="Test Case" id="18"/>
    <tableColumn name="Console log - Success" id="19"/>
    <tableColumn name="Console log - Failed" id="20"/>
  </tableColumns>
  <tableStyleInfo name="Signup Performance Metrics-style" showColumnStripes="0" showFirstColumn="1" showLastColumn="1" showRowStripes="1"/>
</table>
</file>

<file path=xl/tables/table3.xml><?xml version="1.0" encoding="utf-8"?>
<table xmlns="http://schemas.openxmlformats.org/spreadsheetml/2006/main" ref="A3:O9" displayName="AI_Capacity" name="AI_Capacity" id="3">
  <tableColumns count="15">
    <tableColumn name="Test Case ID" id="1"/>
    <tableColumn name="Scenario" id="2"/>
    <tableColumn name="AI Type" id="3"/>
    <tableColumn name="Target VUs" id="4"/>
    <tableColumn name="Max VUs" id="5"/>
    <tableColumn name="Total Gen Requests" id="6"/>
    <tableColumn name="201 Success" id="7"/>
    <tableColumn name="Error Rate (%)" id="8"/>
    <tableColumn name="Avg (ms)" id="9"/>
    <tableColumn name="P90 (ms)" id="10"/>
    <tableColumn name="P95 (ms)" id="11"/>
    <tableColumn name="201 Success Rate (%)" id="12"/>
    <tableColumn name="Result" id="13"/>
    <tableColumn name="Console log - Success" id="14"/>
    <tableColumn name="Console log - Failed" id="15"/>
  </tableColumns>
  <tableStyleInfo name="AI Capacity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.xml"/><Relationship Id="rId11" Type="http://schemas.openxmlformats.org/officeDocument/2006/relationships/hyperlink" Target="https://drive.google.com/file/d/1gh3UFeMvozwycn_9dK8aGuZO_faQ1Q7I/view?usp=drive_link" TargetMode="External"/><Relationship Id="rId10" Type="http://schemas.openxmlformats.org/officeDocument/2006/relationships/hyperlink" Target="https://drive.google.com/file/d/14t6zKIgrSbBoxwdnJWMJaaS_f6QjYDZD/view?usp=drive_link" TargetMode="External"/><Relationship Id="rId13" Type="http://schemas.openxmlformats.org/officeDocument/2006/relationships/hyperlink" Target="https://drive.google.com/file/d/1g4XVJj10tjZdOpYYU2yy1WA9RWTTrWGm/view?usp=drive_link" TargetMode="External"/><Relationship Id="rId12" Type="http://schemas.openxmlformats.org/officeDocument/2006/relationships/hyperlink" Target="https://drive.google.com/file/d/1AoF3GUm1M1TfvQQ-ZaZ4blEkWuljMAww/view?usp=drive_lin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Z2wiOarL8z6SMFH42N3DSY1yBhUahb8/view?usp=sharing" TargetMode="External"/><Relationship Id="rId3" Type="http://schemas.openxmlformats.org/officeDocument/2006/relationships/hyperlink" Target="https://drive.google.com/file/d/1TAKeYL9-GpkaKymHDAnKhVnfUDvF9kpj/view?usp=drive_link" TargetMode="External"/><Relationship Id="rId4" Type="http://schemas.openxmlformats.org/officeDocument/2006/relationships/hyperlink" Target="https://drive.google.com/file/d/1VuuwU2M_B8fYXMahYXGH0OsYmUsB9kH_/view?usp=drive_link" TargetMode="External"/><Relationship Id="rId9" Type="http://schemas.openxmlformats.org/officeDocument/2006/relationships/hyperlink" Target="https://drive.google.com/file/d/1lnRurSp2vw6vZF5WdmlQwk3cwuoM55As/view?usp=drive_link" TargetMode="External"/><Relationship Id="rId15" Type="http://schemas.openxmlformats.org/officeDocument/2006/relationships/hyperlink" Target="https://drive.google.com/file/d/19ByVuzoHyU53DD0IDJz-5In2CPlquQPo/view?usp=drive_link" TargetMode="External"/><Relationship Id="rId14" Type="http://schemas.openxmlformats.org/officeDocument/2006/relationships/hyperlink" Target="https://drive.google.com/file/d/1DllB4XhFHHpYiw6AXSf3cbJvxPQfGJo5/view?usp=drive_link" TargetMode="External"/><Relationship Id="rId17" Type="http://schemas.openxmlformats.org/officeDocument/2006/relationships/drawing" Target="../drawings/drawing1.xml"/><Relationship Id="rId16" Type="http://schemas.openxmlformats.org/officeDocument/2006/relationships/hyperlink" Target="https://drive.google.com/file/d/1KDbyFu0zXNr-gZmEaOQJf6KJQ-JRbeKU/view?usp=drive_link" TargetMode="External"/><Relationship Id="rId5" Type="http://schemas.openxmlformats.org/officeDocument/2006/relationships/hyperlink" Target="https://drive.google.com/file/d/1RV4xUU68E4R8KsMKMWDr3J6k6QGz2tCU/view?usp=sharing" TargetMode="External"/><Relationship Id="rId6" Type="http://schemas.openxmlformats.org/officeDocument/2006/relationships/hyperlink" Target="https://drive.google.com/file/d/1SE79HkyJ7M5onsWm0wh-L4Xf2vaaUgHX/view?usp=drive_link" TargetMode="External"/><Relationship Id="rId18" Type="http://schemas.openxmlformats.org/officeDocument/2006/relationships/vmlDrawing" Target="../drawings/vmlDrawing1.vml"/><Relationship Id="rId7" Type="http://schemas.openxmlformats.org/officeDocument/2006/relationships/hyperlink" Target="https://drive.google.com/file/d/1neEX6LJi8E6wFf0FVty4Ka1Z1bs4YduF/view?usp=drive_link" TargetMode="External"/><Relationship Id="rId8" Type="http://schemas.openxmlformats.org/officeDocument/2006/relationships/hyperlink" Target="https://drive.google.com/file/d/1qxUaSOL7m52qNEfyp0CehtbShUGDubMd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Relationship Id="rId5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18.29"/>
    <col customWidth="1" min="2" max="2" width="16.0"/>
    <col customWidth="1" min="3" max="3" width="21.86"/>
    <col customWidth="1" min="4" max="4" width="18.57"/>
    <col customWidth="1" min="5" max="5" width="19.0"/>
    <col customWidth="1" min="6" max="7" width="18.86"/>
    <col customWidth="1" min="8" max="10" width="16.0"/>
    <col customWidth="1" min="11" max="11" width="21.43"/>
    <col customWidth="1" min="12" max="12" width="16.0"/>
    <col customWidth="1" min="13" max="13" width="55.29"/>
    <col customWidth="1" min="14" max="14" width="52.29"/>
    <col customWidth="1" min="15" max="25" width="8.71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6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ht="22.5" customHeight="1">
      <c r="A3" s="7" t="s">
        <v>2</v>
      </c>
      <c r="B3" s="8" t="s">
        <v>4</v>
      </c>
      <c r="C3" s="7" t="s">
        <v>6</v>
      </c>
      <c r="D3" s="7" t="s">
        <v>7</v>
      </c>
      <c r="E3" s="7" t="s">
        <v>8</v>
      </c>
      <c r="F3" s="7" t="s">
        <v>9</v>
      </c>
      <c r="G3" s="7" t="s">
        <v>10</v>
      </c>
      <c r="H3" s="7" t="s">
        <v>13</v>
      </c>
      <c r="I3" s="8" t="s">
        <v>14</v>
      </c>
      <c r="J3" s="8" t="s">
        <v>16</v>
      </c>
      <c r="K3" s="7" t="s">
        <v>18</v>
      </c>
      <c r="L3" s="7" t="s">
        <v>20</v>
      </c>
      <c r="M3" s="8" t="s">
        <v>21</v>
      </c>
      <c r="N3" s="13" t="s">
        <v>22</v>
      </c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ht="22.5" customHeight="1">
      <c r="A4" s="14" t="s">
        <v>26</v>
      </c>
      <c r="B4" s="14" t="s">
        <v>29</v>
      </c>
      <c r="C4" s="15" t="s">
        <v>31</v>
      </c>
      <c r="D4" s="16" t="s">
        <v>33</v>
      </c>
      <c r="E4" s="17">
        <v>46267.0</v>
      </c>
      <c r="F4" s="16">
        <v>10.0</v>
      </c>
      <c r="G4" s="16">
        <v>10.0</v>
      </c>
      <c r="H4" s="16">
        <v>977.67</v>
      </c>
      <c r="I4" s="16">
        <v>1541.5</v>
      </c>
      <c r="J4" s="16">
        <v>1634.62</v>
      </c>
      <c r="K4" s="16">
        <v>0.0</v>
      </c>
      <c r="L4" s="18" t="s">
        <v>36</v>
      </c>
      <c r="M4" s="19" t="s">
        <v>37</v>
      </c>
      <c r="N4" s="16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ht="22.5" customHeight="1">
      <c r="A5" s="14" t="s">
        <v>41</v>
      </c>
      <c r="B5" s="16" t="s">
        <v>43</v>
      </c>
      <c r="C5" s="15" t="s">
        <v>31</v>
      </c>
      <c r="D5" s="16" t="s">
        <v>33</v>
      </c>
      <c r="E5" s="17">
        <v>46271.0</v>
      </c>
      <c r="F5" s="16">
        <v>1000.0</v>
      </c>
      <c r="G5" s="16">
        <v>300.0</v>
      </c>
      <c r="H5" s="22">
        <v>14447.89</v>
      </c>
      <c r="I5" s="22">
        <v>24310.03</v>
      </c>
      <c r="J5" s="22">
        <v>24879.97</v>
      </c>
      <c r="K5" s="16">
        <v>0.0</v>
      </c>
      <c r="L5" s="18" t="s">
        <v>36</v>
      </c>
      <c r="M5" s="19" t="s">
        <v>44</v>
      </c>
      <c r="N5" s="16" t="s">
        <v>45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ht="22.5" customHeight="1">
      <c r="A6" s="14" t="s">
        <v>46</v>
      </c>
      <c r="B6" s="16" t="s">
        <v>47</v>
      </c>
      <c r="C6" s="15" t="s">
        <v>31</v>
      </c>
      <c r="D6" s="16" t="s">
        <v>33</v>
      </c>
      <c r="E6" s="17">
        <v>46271.0</v>
      </c>
      <c r="F6" s="16">
        <v>93.0</v>
      </c>
      <c r="G6" s="16">
        <v>93.0</v>
      </c>
      <c r="H6" s="23">
        <v>1544.26</v>
      </c>
      <c r="I6" s="23">
        <v>4127.35</v>
      </c>
      <c r="J6" s="23">
        <v>8052.67</v>
      </c>
      <c r="K6" s="16">
        <v>2.6</v>
      </c>
      <c r="L6" s="18" t="s">
        <v>36</v>
      </c>
      <c r="M6" s="19" t="s">
        <v>52</v>
      </c>
      <c r="N6" s="16" t="s">
        <v>53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ht="22.5" customHeight="1">
      <c r="A7" s="14" t="s">
        <v>26</v>
      </c>
      <c r="B7" s="14" t="s">
        <v>29</v>
      </c>
      <c r="C7" s="15" t="s">
        <v>54</v>
      </c>
      <c r="D7" s="16" t="s">
        <v>33</v>
      </c>
      <c r="E7" s="17">
        <v>46267.0</v>
      </c>
      <c r="F7" s="16">
        <v>10.0</v>
      </c>
      <c r="G7" s="16">
        <v>10.0</v>
      </c>
      <c r="H7" s="16">
        <v>811.77</v>
      </c>
      <c r="I7" s="16">
        <v>1719.62</v>
      </c>
      <c r="J7" s="16">
        <v>1722.45</v>
      </c>
      <c r="K7" s="16">
        <v>0.0</v>
      </c>
      <c r="L7" s="18" t="s">
        <v>36</v>
      </c>
      <c r="M7" s="19" t="s">
        <v>57</v>
      </c>
      <c r="N7" s="14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 ht="15.75" customHeight="1">
      <c r="A8" s="14" t="s">
        <v>41</v>
      </c>
      <c r="B8" s="16" t="s">
        <v>43</v>
      </c>
      <c r="C8" s="15" t="s">
        <v>54</v>
      </c>
      <c r="D8" s="16" t="s">
        <v>33</v>
      </c>
      <c r="E8" s="17">
        <v>46271.0</v>
      </c>
      <c r="F8" s="16">
        <v>1000.0</v>
      </c>
      <c r="G8" s="16">
        <v>250.0</v>
      </c>
      <c r="H8" s="24">
        <v>9618.1</v>
      </c>
      <c r="I8" s="16">
        <v>19949.67</v>
      </c>
      <c r="J8" s="16">
        <v>20974.17</v>
      </c>
      <c r="K8" s="16"/>
      <c r="L8" s="18" t="s">
        <v>36</v>
      </c>
      <c r="M8" s="25" t="s">
        <v>63</v>
      </c>
      <c r="N8" s="16" t="s">
        <v>64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 ht="15.75" customHeight="1">
      <c r="A9" s="14" t="s">
        <v>46</v>
      </c>
      <c r="B9" s="16" t="s">
        <v>47</v>
      </c>
      <c r="C9" s="15" t="s">
        <v>54</v>
      </c>
      <c r="D9" s="16" t="s">
        <v>33</v>
      </c>
      <c r="E9" s="17">
        <v>46271.0</v>
      </c>
      <c r="F9" s="16">
        <v>115.0</v>
      </c>
      <c r="G9" s="16">
        <v>115.0</v>
      </c>
      <c r="H9" s="26">
        <v>803.74</v>
      </c>
      <c r="I9" s="26">
        <v>1184.21</v>
      </c>
      <c r="J9" s="26">
        <v>3803.12</v>
      </c>
      <c r="K9" s="27">
        <v>0.0</v>
      </c>
      <c r="L9" s="18" t="s">
        <v>36</v>
      </c>
      <c r="M9" s="19" t="s">
        <v>69</v>
      </c>
      <c r="N9" s="16" t="s">
        <v>70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 ht="15.75" customHeight="1">
      <c r="A10" s="14" t="s">
        <v>26</v>
      </c>
      <c r="B10" s="14" t="s">
        <v>29</v>
      </c>
      <c r="C10" s="15" t="s">
        <v>73</v>
      </c>
      <c r="D10" s="16" t="s">
        <v>33</v>
      </c>
      <c r="E10" s="17">
        <v>46269.0</v>
      </c>
      <c r="F10" s="16">
        <v>10.0</v>
      </c>
      <c r="G10" s="16">
        <v>10.0</v>
      </c>
      <c r="H10" s="16">
        <v>741.59</v>
      </c>
      <c r="I10" s="16">
        <v>1520.19</v>
      </c>
      <c r="J10" s="16">
        <v>1521.57</v>
      </c>
      <c r="K10" s="16">
        <v>0.0</v>
      </c>
      <c r="L10" s="18" t="s">
        <v>36</v>
      </c>
      <c r="M10" s="19" t="s">
        <v>76</v>
      </c>
      <c r="N10" s="14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 ht="15.75" customHeight="1">
      <c r="A11" s="14" t="s">
        <v>41</v>
      </c>
      <c r="B11" s="16" t="s">
        <v>43</v>
      </c>
      <c r="C11" s="15" t="s">
        <v>73</v>
      </c>
      <c r="D11" s="16" t="s">
        <v>33</v>
      </c>
      <c r="E11" s="17">
        <v>46271.0</v>
      </c>
      <c r="F11" s="16">
        <v>1000.0</v>
      </c>
      <c r="G11" s="16">
        <v>250.0</v>
      </c>
      <c r="H11" s="22">
        <v>9751.94</v>
      </c>
      <c r="I11" s="22">
        <v>19410.74</v>
      </c>
      <c r="J11" s="22">
        <v>21226.11</v>
      </c>
      <c r="K11" s="16">
        <v>0.0</v>
      </c>
      <c r="L11" s="18" t="s">
        <v>36</v>
      </c>
      <c r="M11" s="19" t="s">
        <v>79</v>
      </c>
      <c r="N11" s="16" t="s">
        <v>80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 ht="15.75" customHeight="1">
      <c r="A12" s="14" t="s">
        <v>46</v>
      </c>
      <c r="B12" s="16" t="s">
        <v>47</v>
      </c>
      <c r="C12" s="15" t="s">
        <v>73</v>
      </c>
      <c r="D12" s="16" t="s">
        <v>33</v>
      </c>
      <c r="E12" s="17">
        <v>46271.0</v>
      </c>
      <c r="F12" s="16">
        <v>117.0</v>
      </c>
      <c r="G12" s="16">
        <v>117.0</v>
      </c>
      <c r="H12" s="23">
        <v>791.8</v>
      </c>
      <c r="I12" s="23">
        <v>1581.27</v>
      </c>
      <c r="J12" s="23">
        <v>3448.34</v>
      </c>
      <c r="K12" s="27">
        <v>0.0</v>
      </c>
      <c r="L12" s="18" t="s">
        <v>36</v>
      </c>
      <c r="M12" s="19" t="s">
        <v>82</v>
      </c>
      <c r="N12" s="16" t="s">
        <v>84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 ht="15.75" customHeight="1">
      <c r="A13" s="14" t="s">
        <v>26</v>
      </c>
      <c r="B13" s="14" t="s">
        <v>29</v>
      </c>
      <c r="C13" s="15" t="s">
        <v>39</v>
      </c>
      <c r="D13" s="16" t="s">
        <v>33</v>
      </c>
      <c r="E13" s="17">
        <v>46268.0</v>
      </c>
      <c r="F13" s="16">
        <v>2.0</v>
      </c>
      <c r="G13" s="16">
        <v>2.0</v>
      </c>
      <c r="H13" s="16">
        <v>2687.98</v>
      </c>
      <c r="I13" s="16">
        <v>3076.08</v>
      </c>
      <c r="J13" s="16">
        <v>3124.6</v>
      </c>
      <c r="K13" s="16">
        <v>0.0</v>
      </c>
      <c r="L13" s="18" t="s">
        <v>36</v>
      </c>
      <c r="M13" s="19" t="s">
        <v>87</v>
      </c>
      <c r="N13" s="16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 ht="15.75" customHeight="1">
      <c r="A14" s="14" t="s">
        <v>41</v>
      </c>
      <c r="B14" s="16" t="s">
        <v>43</v>
      </c>
      <c r="C14" s="15" t="s">
        <v>39</v>
      </c>
      <c r="D14" s="16" t="s">
        <v>33</v>
      </c>
      <c r="E14" s="17">
        <v>46269.0</v>
      </c>
      <c r="F14" s="16">
        <v>100.0</v>
      </c>
      <c r="G14" s="16">
        <v>70.0</v>
      </c>
      <c r="H14" s="16">
        <v>38031.33</v>
      </c>
      <c r="I14" s="16">
        <v>52956.11</v>
      </c>
      <c r="J14" s="16">
        <v>53104.17</v>
      </c>
      <c r="K14" s="16">
        <v>0.0</v>
      </c>
      <c r="L14" s="18" t="s">
        <v>36</v>
      </c>
      <c r="M14" s="19" t="s">
        <v>89</v>
      </c>
      <c r="N14" s="16" t="s">
        <v>90</v>
      </c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 ht="15.75" customHeight="1">
      <c r="A15" s="14" t="s">
        <v>26</v>
      </c>
      <c r="B15" s="14" t="s">
        <v>29</v>
      </c>
      <c r="C15" s="15" t="s">
        <v>60</v>
      </c>
      <c r="D15" s="16" t="s">
        <v>33</v>
      </c>
      <c r="E15" s="17">
        <v>46268.0</v>
      </c>
      <c r="F15" s="16">
        <v>2.0</v>
      </c>
      <c r="G15" s="16">
        <v>2.0</v>
      </c>
      <c r="H15" s="16">
        <v>2971.1</v>
      </c>
      <c r="I15" s="16">
        <v>2971.12</v>
      </c>
      <c r="J15" s="16">
        <v>2971.12</v>
      </c>
      <c r="K15" s="16">
        <v>0.0</v>
      </c>
      <c r="L15" s="18" t="s">
        <v>36</v>
      </c>
      <c r="M15" s="19" t="s">
        <v>91</v>
      </c>
      <c r="N15" s="16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 ht="15.75" customHeight="1">
      <c r="A16" s="14" t="s">
        <v>41</v>
      </c>
      <c r="B16" s="16" t="s">
        <v>43</v>
      </c>
      <c r="C16" s="15" t="s">
        <v>60</v>
      </c>
      <c r="D16" s="16" t="s">
        <v>33</v>
      </c>
      <c r="E16" s="17">
        <v>46269.0</v>
      </c>
      <c r="F16" s="16">
        <v>100.0</v>
      </c>
      <c r="G16" s="16">
        <v>60.0</v>
      </c>
      <c r="H16" s="16">
        <v>38326.54</v>
      </c>
      <c r="I16" s="16">
        <v>57623.67</v>
      </c>
      <c r="J16" s="16">
        <v>57747.7</v>
      </c>
      <c r="K16" s="16">
        <v>0.0</v>
      </c>
      <c r="L16" s="18" t="s">
        <v>36</v>
      </c>
      <c r="M16" s="19" t="s">
        <v>92</v>
      </c>
      <c r="N16" s="16" t="s">
        <v>93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ht="15.75" customHeight="1">
      <c r="A17" s="14" t="s">
        <v>26</v>
      </c>
      <c r="B17" s="14" t="s">
        <v>29</v>
      </c>
      <c r="C17" s="15" t="s">
        <v>75</v>
      </c>
      <c r="D17" s="16" t="s">
        <v>33</v>
      </c>
      <c r="E17" s="17">
        <v>46268.0</v>
      </c>
      <c r="F17" s="16">
        <v>2.0</v>
      </c>
      <c r="G17" s="16">
        <v>2.0</v>
      </c>
      <c r="H17" s="16">
        <v>6328.52</v>
      </c>
      <c r="I17" s="16">
        <v>6559.96</v>
      </c>
      <c r="J17" s="16">
        <v>6588.89</v>
      </c>
      <c r="K17" s="16">
        <v>0.0</v>
      </c>
      <c r="L17" s="18" t="s">
        <v>36</v>
      </c>
      <c r="M17" s="19" t="s">
        <v>94</v>
      </c>
      <c r="N17" s="16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 ht="15.75" customHeight="1">
      <c r="A18" s="14" t="s">
        <v>41</v>
      </c>
      <c r="B18" s="16" t="s">
        <v>43</v>
      </c>
      <c r="C18" s="15" t="s">
        <v>75</v>
      </c>
      <c r="D18" s="16" t="s">
        <v>33</v>
      </c>
      <c r="E18" s="17">
        <v>46269.0</v>
      </c>
      <c r="F18" s="16">
        <v>100.0</v>
      </c>
      <c r="G18" s="16">
        <v>40.0</v>
      </c>
      <c r="H18" s="16">
        <v>30941.01</v>
      </c>
      <c r="I18" s="16">
        <v>32185.49</v>
      </c>
      <c r="J18" s="16">
        <v>32492.09</v>
      </c>
      <c r="K18" s="16">
        <v>0.0</v>
      </c>
      <c r="L18" s="18" t="s">
        <v>36</v>
      </c>
      <c r="M18" s="19" t="s">
        <v>95</v>
      </c>
      <c r="N18" s="16" t="s">
        <v>96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 ht="15.7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6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ht="15.7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6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6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6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6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</sheetData>
  <dataValidations>
    <dataValidation type="list" allowBlank="1" sqref="L19:L23">
      <formula1>"PASS,FAIL,N/A"</formula1>
    </dataValidation>
    <dataValidation type="list" allowBlank="1" sqref="L4:L18">
      <formula1>"DONE,TODO"</formula1>
    </dataValidation>
    <dataValidation type="custom" allowBlank="1" showDropDown="1" sqref="E4:E18">
      <formula1>OR(NOT(ISERROR(DATEVALUE(E4))), AND(ISNUMBER(E4), LEFT(CELL("format", E4))="D"))</formula1>
    </dataValidation>
    <dataValidation type="list" allowBlank="1" sqref="C4:C18">
      <formula1>"login,signup-supporter,creator-individual,creator-juristic,Content,2D,3D"</formula1>
    </dataValidation>
  </dataValidations>
  <hyperlinks>
    <hyperlink r:id="rId2" ref="M4"/>
    <hyperlink r:id="rId3" ref="M5"/>
    <hyperlink r:id="rId4" ref="M6"/>
    <hyperlink r:id="rId5" ref="M7"/>
    <hyperlink r:id="rId6" ref="M8"/>
    <hyperlink r:id="rId7" ref="M9"/>
    <hyperlink r:id="rId8" ref="M10"/>
    <hyperlink r:id="rId9" ref="M11"/>
    <hyperlink r:id="rId10" ref="M12"/>
    <hyperlink r:id="rId11" ref="M13"/>
    <hyperlink r:id="rId12" ref="M14"/>
    <hyperlink r:id="rId13" ref="M15"/>
    <hyperlink r:id="rId14" ref="M16"/>
    <hyperlink r:id="rId15" ref="M17"/>
    <hyperlink r:id="rId16" ref="M18"/>
  </hyperlinks>
  <printOptions/>
  <pageMargins bottom="1.0" footer="0.0" header="0.0" left="0.75" right="0.75" top="1.0"/>
  <pageSetup orientation="landscape"/>
  <drawing r:id="rId17"/>
  <legacyDrawing r:id="rId18"/>
  <tableParts count="1"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18.0"/>
    <col customWidth="1" min="2" max="2" width="16.0"/>
    <col customWidth="1" min="3" max="3" width="21.86"/>
    <col customWidth="1" min="4" max="5" width="20.0"/>
    <col customWidth="1" min="6" max="6" width="21.0"/>
    <col customWidth="1" min="7" max="8" width="16.0"/>
    <col customWidth="1" min="9" max="9" width="18.57"/>
    <col customWidth="1" min="10" max="12" width="16.0"/>
    <col customWidth="1" min="13" max="15" width="21.0"/>
    <col customWidth="1" min="16" max="16" width="26.29"/>
    <col customWidth="1" min="17" max="17" width="16.0"/>
    <col customWidth="1" min="18" max="18" width="45.0"/>
    <col customWidth="1" min="19" max="20" width="44.43"/>
    <col customWidth="1" min="21" max="24" width="8.71"/>
  </cols>
  <sheetData>
    <row r="1">
      <c r="A1" s="1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3"/>
      <c r="R1" s="2"/>
      <c r="S1" s="4"/>
      <c r="T1" s="2"/>
      <c r="U1" s="5"/>
      <c r="V1" s="5"/>
      <c r="W1" s="5"/>
      <c r="X1" s="5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/>
      <c r="R2" s="5"/>
      <c r="S2" s="5"/>
      <c r="T2" s="5"/>
      <c r="U2" s="5"/>
      <c r="V2" s="5"/>
      <c r="W2" s="5"/>
      <c r="X2" s="5"/>
    </row>
    <row r="3" ht="22.5" customHeight="1">
      <c r="A3" s="7" t="s">
        <v>2</v>
      </c>
      <c r="B3" s="7" t="s">
        <v>5</v>
      </c>
      <c r="C3" s="7" t="s">
        <v>6</v>
      </c>
      <c r="D3" s="7" t="s">
        <v>9</v>
      </c>
      <c r="E3" s="7" t="s">
        <v>10</v>
      </c>
      <c r="F3" s="7" t="s">
        <v>12</v>
      </c>
      <c r="G3" s="7" t="s">
        <v>13</v>
      </c>
      <c r="H3" s="7" t="s">
        <v>15</v>
      </c>
      <c r="I3" s="7" t="s">
        <v>17</v>
      </c>
      <c r="J3" s="7" t="s">
        <v>19</v>
      </c>
      <c r="K3" s="7" t="s">
        <v>14</v>
      </c>
      <c r="L3" s="7" t="s">
        <v>16</v>
      </c>
      <c r="M3" s="7" t="s">
        <v>18</v>
      </c>
      <c r="N3" s="7" t="s">
        <v>23</v>
      </c>
      <c r="O3" s="7" t="s">
        <v>24</v>
      </c>
      <c r="P3" s="7" t="s">
        <v>25</v>
      </c>
      <c r="Q3" s="7" t="s">
        <v>20</v>
      </c>
      <c r="R3" s="13" t="s">
        <v>27</v>
      </c>
      <c r="S3" s="8" t="s">
        <v>28</v>
      </c>
      <c r="T3" s="13" t="s">
        <v>30</v>
      </c>
      <c r="U3" s="5"/>
      <c r="V3" s="5"/>
      <c r="W3" s="5"/>
      <c r="X3" s="5"/>
    </row>
    <row r="4" ht="30.0" customHeight="1">
      <c r="A4" s="14" t="s">
        <v>26</v>
      </c>
      <c r="B4" s="14" t="s">
        <v>29</v>
      </c>
      <c r="C4" s="15" t="s">
        <v>31</v>
      </c>
      <c r="D4" s="16">
        <v>10.0</v>
      </c>
      <c r="E4" s="16">
        <v>10.0</v>
      </c>
      <c r="F4" s="16">
        <v>10.0</v>
      </c>
      <c r="G4" s="16">
        <v>977.67</v>
      </c>
      <c r="H4" s="16">
        <v>342.48</v>
      </c>
      <c r="I4" s="16">
        <v>931.47</v>
      </c>
      <c r="J4" s="16">
        <v>1727.74</v>
      </c>
      <c r="K4" s="16">
        <v>1541.5</v>
      </c>
      <c r="L4" s="16">
        <v>1634.62</v>
      </c>
      <c r="M4" s="16">
        <v>0.0</v>
      </c>
      <c r="N4" s="16">
        <v>10.0</v>
      </c>
      <c r="O4" s="16">
        <v>0.0</v>
      </c>
      <c r="P4" s="20">
        <f t="shared" ref="P4:P18" si="1">IF((N4+O4)=0,"",N4/(N4+O4))</f>
        <v>1</v>
      </c>
      <c r="Q4" s="18" t="s">
        <v>36</v>
      </c>
      <c r="R4" s="16" t="s">
        <v>40</v>
      </c>
      <c r="S4" s="16" t="s">
        <v>42</v>
      </c>
      <c r="T4" s="16"/>
      <c r="U4" s="5"/>
      <c r="V4" s="5"/>
      <c r="W4" s="5"/>
      <c r="X4" s="5"/>
    </row>
    <row r="5" ht="30.0" customHeight="1">
      <c r="A5" s="14" t="s">
        <v>41</v>
      </c>
      <c r="B5" s="16" t="s">
        <v>43</v>
      </c>
      <c r="C5" s="15" t="s">
        <v>31</v>
      </c>
      <c r="D5" s="16">
        <v>1000.0</v>
      </c>
      <c r="E5" s="16">
        <v>300.0</v>
      </c>
      <c r="F5" s="16">
        <v>300.0</v>
      </c>
      <c r="G5" s="16">
        <v>14447.89</v>
      </c>
      <c r="H5" s="16">
        <v>668.99</v>
      </c>
      <c r="I5" s="16">
        <v>13777.91</v>
      </c>
      <c r="J5" s="16">
        <v>25052.36</v>
      </c>
      <c r="K5" s="16">
        <v>24310.03</v>
      </c>
      <c r="L5" s="16">
        <v>24879.97</v>
      </c>
      <c r="M5" s="16">
        <v>0.0</v>
      </c>
      <c r="N5" s="16">
        <v>300.0</v>
      </c>
      <c r="O5" s="16">
        <v>0.0</v>
      </c>
      <c r="P5" s="20">
        <f t="shared" si="1"/>
        <v>1</v>
      </c>
      <c r="Q5" s="18" t="s">
        <v>36</v>
      </c>
      <c r="R5" s="16" t="s">
        <v>48</v>
      </c>
      <c r="S5" s="16" t="s">
        <v>49</v>
      </c>
      <c r="T5" s="16" t="s">
        <v>50</v>
      </c>
      <c r="U5" s="5"/>
      <c r="V5" s="5"/>
      <c r="W5" s="5"/>
      <c r="X5" s="5"/>
    </row>
    <row r="6" ht="30.0" customHeight="1">
      <c r="A6" s="14" t="s">
        <v>46</v>
      </c>
      <c r="B6" s="16" t="s">
        <v>47</v>
      </c>
      <c r="C6" s="15" t="s">
        <v>31</v>
      </c>
      <c r="D6" s="16">
        <v>93.0</v>
      </c>
      <c r="E6" s="16">
        <v>93.0</v>
      </c>
      <c r="F6" s="16">
        <v>5958.0</v>
      </c>
      <c r="G6" s="16">
        <v>1544.26</v>
      </c>
      <c r="H6" s="16">
        <v>221.49</v>
      </c>
      <c r="I6" s="16">
        <v>338.61</v>
      </c>
      <c r="J6" s="16">
        <v>21068.04</v>
      </c>
      <c r="K6" s="16">
        <v>4127.35</v>
      </c>
      <c r="L6" s="16">
        <v>8052.67</v>
      </c>
      <c r="M6" s="16">
        <v>2.6</v>
      </c>
      <c r="N6" s="16">
        <v>5803.0</v>
      </c>
      <c r="O6" s="16">
        <v>155.0</v>
      </c>
      <c r="P6" s="20">
        <f t="shared" si="1"/>
        <v>0.9739845586</v>
      </c>
      <c r="Q6" s="18" t="s">
        <v>36</v>
      </c>
      <c r="R6" s="16" t="s">
        <v>55</v>
      </c>
      <c r="S6" s="16" t="s">
        <v>56</v>
      </c>
      <c r="T6" s="16"/>
      <c r="U6" s="5"/>
      <c r="V6" s="5"/>
      <c r="W6" s="5"/>
      <c r="X6" s="5"/>
    </row>
    <row r="7" ht="30.0" customHeight="1">
      <c r="A7" s="14" t="s">
        <v>26</v>
      </c>
      <c r="B7" s="14" t="s">
        <v>29</v>
      </c>
      <c r="C7" s="15" t="s">
        <v>54</v>
      </c>
      <c r="D7" s="16">
        <v>10.0</v>
      </c>
      <c r="E7" s="16">
        <v>10.0</v>
      </c>
      <c r="F7" s="16">
        <v>20.0</v>
      </c>
      <c r="G7" s="16">
        <v>811.77</v>
      </c>
      <c r="H7" s="16">
        <v>29.05</v>
      </c>
      <c r="I7" s="16">
        <v>865.54</v>
      </c>
      <c r="J7" s="16">
        <v>1725.66</v>
      </c>
      <c r="K7" s="16">
        <v>1719.62</v>
      </c>
      <c r="L7" s="16">
        <v>1722.45</v>
      </c>
      <c r="M7" s="16">
        <v>0.0</v>
      </c>
      <c r="N7" s="16">
        <v>20.0</v>
      </c>
      <c r="O7" s="16">
        <v>0.0</v>
      </c>
      <c r="P7" s="20">
        <f t="shared" si="1"/>
        <v>1</v>
      </c>
      <c r="Q7" s="18" t="s">
        <v>36</v>
      </c>
      <c r="R7" s="16" t="s">
        <v>61</v>
      </c>
      <c r="S7" s="16" t="s">
        <v>62</v>
      </c>
      <c r="T7" s="16"/>
      <c r="U7" s="5"/>
      <c r="V7" s="5"/>
      <c r="W7" s="5"/>
      <c r="X7" s="5"/>
    </row>
    <row r="8" ht="30.0" customHeight="1">
      <c r="A8" s="14" t="s">
        <v>41</v>
      </c>
      <c r="B8" s="16" t="s">
        <v>43</v>
      </c>
      <c r="C8" s="15" t="s">
        <v>54</v>
      </c>
      <c r="D8" s="16">
        <v>1000.0</v>
      </c>
      <c r="E8" s="16">
        <v>250.0</v>
      </c>
      <c r="F8" s="16">
        <v>500.0</v>
      </c>
      <c r="G8" s="16">
        <v>9618.1</v>
      </c>
      <c r="H8" s="16">
        <v>21.82</v>
      </c>
      <c r="I8" s="16">
        <v>9122.12</v>
      </c>
      <c r="J8" s="16">
        <v>21232.39</v>
      </c>
      <c r="K8" s="16">
        <v>19949.67</v>
      </c>
      <c r="L8" s="16">
        <v>20974.17</v>
      </c>
      <c r="M8" s="16">
        <v>0.0</v>
      </c>
      <c r="N8" s="16">
        <v>500.0</v>
      </c>
      <c r="O8" s="16">
        <v>0.0</v>
      </c>
      <c r="P8" s="20">
        <f t="shared" si="1"/>
        <v>1</v>
      </c>
      <c r="Q8" s="18" t="s">
        <v>36</v>
      </c>
      <c r="R8" s="16" t="s">
        <v>66</v>
      </c>
      <c r="S8" s="16" t="s">
        <v>67</v>
      </c>
      <c r="T8" s="16" t="s">
        <v>68</v>
      </c>
      <c r="U8" s="5"/>
      <c r="V8" s="5"/>
      <c r="W8" s="5"/>
      <c r="X8" s="5"/>
    </row>
    <row r="9" ht="30.0" customHeight="1">
      <c r="A9" s="14" t="s">
        <v>46</v>
      </c>
      <c r="B9" s="16" t="s">
        <v>47</v>
      </c>
      <c r="C9" s="15" t="s">
        <v>54</v>
      </c>
      <c r="D9" s="16">
        <v>115.0</v>
      </c>
      <c r="E9" s="16">
        <v>115.0</v>
      </c>
      <c r="F9" s="16">
        <v>11872.0</v>
      </c>
      <c r="G9" s="16">
        <v>803.74</v>
      </c>
      <c r="H9" s="16">
        <v>15.79</v>
      </c>
      <c r="I9" s="16">
        <v>318.02</v>
      </c>
      <c r="J9" s="16">
        <v>15430.67</v>
      </c>
      <c r="K9" s="16">
        <v>1184.21</v>
      </c>
      <c r="L9" s="16">
        <v>3803.12</v>
      </c>
      <c r="M9" s="27">
        <v>0.0</v>
      </c>
      <c r="N9" s="16">
        <v>11872.0</v>
      </c>
      <c r="O9" s="16">
        <v>0.0</v>
      </c>
      <c r="P9" s="20">
        <f t="shared" si="1"/>
        <v>1</v>
      </c>
      <c r="Q9" s="18" t="s">
        <v>36</v>
      </c>
      <c r="R9" s="16" t="s">
        <v>55</v>
      </c>
      <c r="S9" s="16" t="s">
        <v>74</v>
      </c>
      <c r="T9" s="16"/>
      <c r="U9" s="5"/>
      <c r="V9" s="5"/>
      <c r="W9" s="5"/>
      <c r="X9" s="5"/>
    </row>
    <row r="10" ht="30.0" customHeight="1">
      <c r="A10" s="14" t="s">
        <v>26</v>
      </c>
      <c r="B10" s="14" t="s">
        <v>29</v>
      </c>
      <c r="C10" s="15" t="s">
        <v>73</v>
      </c>
      <c r="D10" s="16">
        <v>10.0</v>
      </c>
      <c r="E10" s="16">
        <v>10.0</v>
      </c>
      <c r="F10" s="16">
        <v>20.0</v>
      </c>
      <c r="G10" s="16">
        <v>741.59</v>
      </c>
      <c r="H10" s="16">
        <v>19.67</v>
      </c>
      <c r="I10" s="16">
        <v>780.71</v>
      </c>
      <c r="J10" s="16">
        <v>1547.55</v>
      </c>
      <c r="K10" s="16">
        <v>1520.19</v>
      </c>
      <c r="L10" s="16">
        <v>1521.57</v>
      </c>
      <c r="M10" s="16">
        <v>0.0</v>
      </c>
      <c r="N10" s="16">
        <v>20.0</v>
      </c>
      <c r="O10" s="16">
        <v>0.0</v>
      </c>
      <c r="P10" s="20">
        <f t="shared" si="1"/>
        <v>1</v>
      </c>
      <c r="Q10" s="18" t="s">
        <v>36</v>
      </c>
      <c r="R10" s="16" t="s">
        <v>61</v>
      </c>
      <c r="S10" s="16" t="s">
        <v>78</v>
      </c>
      <c r="T10" s="14"/>
      <c r="U10" s="5"/>
      <c r="V10" s="5"/>
      <c r="W10" s="5"/>
      <c r="X10" s="5"/>
    </row>
    <row r="11" ht="30.0" customHeight="1">
      <c r="A11" s="14" t="s">
        <v>41</v>
      </c>
      <c r="B11" s="16" t="s">
        <v>43</v>
      </c>
      <c r="C11" s="15" t="s">
        <v>73</v>
      </c>
      <c r="D11" s="16">
        <v>1000.0</v>
      </c>
      <c r="E11" s="16">
        <v>250.0</v>
      </c>
      <c r="F11" s="16">
        <v>500.0</v>
      </c>
      <c r="G11" s="16">
        <v>9751.94</v>
      </c>
      <c r="H11" s="16">
        <v>19.72</v>
      </c>
      <c r="I11" s="16">
        <v>9226.67</v>
      </c>
      <c r="J11" s="16">
        <v>22215.55</v>
      </c>
      <c r="K11" s="16">
        <v>19410.74</v>
      </c>
      <c r="L11" s="16">
        <v>21226.11</v>
      </c>
      <c r="M11" s="16">
        <v>0.0</v>
      </c>
      <c r="N11" s="16">
        <v>500.0</v>
      </c>
      <c r="O11" s="16">
        <v>0.0</v>
      </c>
      <c r="P11" s="20">
        <f t="shared" si="1"/>
        <v>1</v>
      </c>
      <c r="Q11" s="18" t="s">
        <v>36</v>
      </c>
      <c r="R11" s="16" t="s">
        <v>66</v>
      </c>
      <c r="S11" s="16" t="s">
        <v>81</v>
      </c>
      <c r="T11" s="16" t="s">
        <v>83</v>
      </c>
      <c r="U11" s="5"/>
      <c r="V11" s="5"/>
      <c r="W11" s="5"/>
      <c r="X11" s="5"/>
    </row>
    <row r="12" ht="30.0" customHeight="1">
      <c r="A12" s="14" t="s">
        <v>46</v>
      </c>
      <c r="B12" s="16" t="s">
        <v>47</v>
      </c>
      <c r="C12" s="15" t="s">
        <v>73</v>
      </c>
      <c r="D12" s="16">
        <v>117.0</v>
      </c>
      <c r="E12" s="16">
        <v>117.0</v>
      </c>
      <c r="F12" s="16">
        <v>11868.0</v>
      </c>
      <c r="G12" s="16">
        <v>791.8</v>
      </c>
      <c r="H12" s="16">
        <v>16.38</v>
      </c>
      <c r="I12" s="16">
        <v>340.13</v>
      </c>
      <c r="J12" s="16">
        <v>13816.85</v>
      </c>
      <c r="K12" s="16">
        <v>1581.27</v>
      </c>
      <c r="L12" s="16">
        <v>3448.34</v>
      </c>
      <c r="M12" s="27">
        <v>0.0</v>
      </c>
      <c r="N12" s="16">
        <v>11868.0</v>
      </c>
      <c r="O12" s="16">
        <v>0.0</v>
      </c>
      <c r="P12" s="20">
        <f t="shared" si="1"/>
        <v>1</v>
      </c>
      <c r="Q12" s="18" t="s">
        <v>36</v>
      </c>
      <c r="R12" s="16" t="s">
        <v>55</v>
      </c>
      <c r="S12" s="16" t="s">
        <v>88</v>
      </c>
      <c r="T12" s="16"/>
      <c r="U12" s="5"/>
      <c r="V12" s="5"/>
      <c r="W12" s="5"/>
      <c r="X12" s="5"/>
    </row>
    <row r="13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8" t="str">
        <f t="shared" si="1"/>
        <v/>
      </c>
      <c r="Q13" s="29"/>
      <c r="R13" s="21"/>
      <c r="S13" s="21"/>
      <c r="T13" s="21"/>
      <c r="U13" s="5"/>
      <c r="V13" s="5"/>
      <c r="W13" s="5"/>
      <c r="X13" s="5"/>
    </row>
    <row r="14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8" t="str">
        <f t="shared" si="1"/>
        <v/>
      </c>
      <c r="Q14" s="29"/>
      <c r="R14" s="21"/>
      <c r="S14" s="21"/>
      <c r="T14" s="21"/>
      <c r="U14" s="5"/>
      <c r="V14" s="5"/>
      <c r="W14" s="5"/>
      <c r="X14" s="5"/>
    </row>
    <row r="1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8" t="str">
        <f t="shared" si="1"/>
        <v/>
      </c>
      <c r="Q15" s="29"/>
      <c r="R15" s="21"/>
      <c r="S15" s="21"/>
      <c r="T15" s="21"/>
      <c r="U15" s="5"/>
      <c r="V15" s="5"/>
      <c r="W15" s="5"/>
      <c r="X15" s="5"/>
    </row>
    <row r="1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8" t="str">
        <f t="shared" si="1"/>
        <v/>
      </c>
      <c r="Q16" s="29"/>
      <c r="R16" s="21"/>
      <c r="S16" s="21"/>
      <c r="T16" s="21"/>
      <c r="U16" s="5"/>
      <c r="V16" s="5"/>
      <c r="W16" s="5"/>
      <c r="X16" s="5"/>
    </row>
    <row r="1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8" t="str">
        <f t="shared" si="1"/>
        <v/>
      </c>
      <c r="Q17" s="29"/>
      <c r="R17" s="21"/>
      <c r="S17" s="21"/>
      <c r="T17" s="21"/>
      <c r="U17" s="5"/>
      <c r="V17" s="5"/>
      <c r="W17" s="5"/>
      <c r="X17" s="5"/>
    </row>
    <row r="18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8" t="str">
        <f t="shared" si="1"/>
        <v/>
      </c>
      <c r="Q18" s="29"/>
      <c r="R18" s="21"/>
      <c r="S18" s="21"/>
      <c r="T18" s="21"/>
      <c r="U18" s="5"/>
      <c r="V18" s="5"/>
      <c r="W18" s="5"/>
      <c r="X18" s="5"/>
    </row>
  </sheetData>
  <dataValidations>
    <dataValidation type="list" allowBlank="1" sqref="Q13:Q18">
      <formula1>"PASS,FAIL,N/A"</formula1>
    </dataValidation>
    <dataValidation type="list" allowBlank="1" sqref="Q4:Q12">
      <formula1>"DONE,TODO"</formula1>
    </dataValidation>
    <dataValidation type="list" allowBlank="1" showDropDown="1" showErrorMessage="1" sqref="C4:C12">
      <formula1>"login,signup-supporter,creator-individual,creator-juristic"</formula1>
    </dataValidation>
  </dataValidations>
  <printOptions/>
  <pageMargins bottom="1.0" footer="0.0" header="0.0" left="0.75" right="0.75" top="1.0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19.0"/>
    <col customWidth="1" min="2" max="2" width="16.0"/>
    <col customWidth="1" min="3" max="3" width="17.14"/>
    <col customWidth="1" min="4" max="4" width="22.0"/>
    <col customWidth="1" min="5" max="5" width="17.57"/>
    <col customWidth="1" min="6" max="6" width="25.57"/>
    <col customWidth="1" min="7" max="7" width="19.14"/>
    <col customWidth="1" min="8" max="8" width="20.0"/>
    <col customWidth="1" min="9" max="11" width="16.0"/>
    <col customWidth="1" min="12" max="12" width="29.29"/>
    <col customWidth="1" min="13" max="13" width="22.57"/>
    <col customWidth="1" min="14" max="15" width="43.86"/>
    <col customWidth="1" min="16" max="22" width="8.71"/>
  </cols>
  <sheetData>
    <row r="1">
      <c r="A1" s="1" t="s">
        <v>3</v>
      </c>
      <c r="B1" s="9"/>
      <c r="C1" s="10"/>
      <c r="D1" s="10" t="s">
        <v>11</v>
      </c>
      <c r="E1" s="9"/>
      <c r="F1" s="9"/>
      <c r="G1" s="9"/>
      <c r="H1" s="9"/>
      <c r="I1" s="9"/>
      <c r="J1" s="9"/>
      <c r="K1" s="9"/>
      <c r="L1" s="9"/>
      <c r="M1" s="11"/>
      <c r="N1" s="9"/>
      <c r="O1" s="12"/>
      <c r="P1" s="5"/>
      <c r="Q1" s="5"/>
      <c r="R1" s="5"/>
      <c r="S1" s="5"/>
      <c r="T1" s="5"/>
      <c r="U1" s="5"/>
      <c r="V1" s="5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6"/>
      <c r="N2" s="5"/>
      <c r="O2" s="5"/>
      <c r="P2" s="5"/>
      <c r="Q2" s="5"/>
      <c r="R2" s="5"/>
      <c r="S2" s="5"/>
      <c r="T2" s="5"/>
      <c r="U2" s="5"/>
      <c r="V2" s="5"/>
    </row>
    <row r="3" ht="22.5" customHeight="1">
      <c r="A3" s="7" t="s">
        <v>2</v>
      </c>
      <c r="B3" s="7" t="s">
        <v>5</v>
      </c>
      <c r="C3" s="7" t="s">
        <v>32</v>
      </c>
      <c r="D3" s="7" t="s">
        <v>9</v>
      </c>
      <c r="E3" s="7" t="s">
        <v>10</v>
      </c>
      <c r="F3" s="7" t="s">
        <v>34</v>
      </c>
      <c r="G3" s="7" t="s">
        <v>35</v>
      </c>
      <c r="H3" s="7" t="s">
        <v>18</v>
      </c>
      <c r="I3" s="7" t="s">
        <v>13</v>
      </c>
      <c r="J3" s="7" t="s">
        <v>14</v>
      </c>
      <c r="K3" s="7" t="s">
        <v>16</v>
      </c>
      <c r="L3" s="7" t="s">
        <v>38</v>
      </c>
      <c r="M3" s="7" t="s">
        <v>20</v>
      </c>
      <c r="N3" s="7" t="s">
        <v>28</v>
      </c>
      <c r="O3" s="7" t="s">
        <v>30</v>
      </c>
      <c r="P3" s="5"/>
      <c r="Q3" s="5"/>
      <c r="R3" s="5"/>
      <c r="S3" s="5"/>
      <c r="T3" s="5"/>
      <c r="U3" s="5"/>
      <c r="V3" s="5"/>
    </row>
    <row r="4" ht="60.0" customHeight="1">
      <c r="A4" s="14" t="s">
        <v>26</v>
      </c>
      <c r="B4" s="14" t="s">
        <v>29</v>
      </c>
      <c r="C4" s="21" t="s">
        <v>39</v>
      </c>
      <c r="D4" s="16">
        <v>2.0</v>
      </c>
      <c r="E4" s="16">
        <v>2.0</v>
      </c>
      <c r="F4" s="16">
        <v>2.0</v>
      </c>
      <c r="G4" s="16">
        <v>2.0</v>
      </c>
      <c r="H4" s="16">
        <v>0.0</v>
      </c>
      <c r="I4" s="16">
        <v>2687.98</v>
      </c>
      <c r="J4" s="16">
        <v>3076.08</v>
      </c>
      <c r="K4" s="16">
        <v>3124.6</v>
      </c>
      <c r="L4" s="20">
        <f t="shared" ref="L4:L17" si="1">IF(F4=0,"",G4/F4)</f>
        <v>1</v>
      </c>
      <c r="M4" s="18" t="s">
        <v>36</v>
      </c>
      <c r="N4" s="16" t="s">
        <v>51</v>
      </c>
      <c r="O4" s="14"/>
      <c r="P4" s="5"/>
      <c r="Q4" s="5"/>
      <c r="R4" s="5"/>
      <c r="S4" s="5"/>
      <c r="T4" s="5"/>
      <c r="U4" s="5"/>
      <c r="V4" s="5"/>
    </row>
    <row r="5" ht="60.0" customHeight="1">
      <c r="A5" s="14" t="s">
        <v>41</v>
      </c>
      <c r="B5" s="16" t="s">
        <v>43</v>
      </c>
      <c r="C5" s="21" t="s">
        <v>39</v>
      </c>
      <c r="D5" s="16">
        <v>100.0</v>
      </c>
      <c r="E5" s="16">
        <v>70.0</v>
      </c>
      <c r="F5" s="16">
        <v>70.0</v>
      </c>
      <c r="G5" s="16">
        <v>70.0</v>
      </c>
      <c r="H5" s="16">
        <v>0.0</v>
      </c>
      <c r="I5" s="16">
        <v>38031.33</v>
      </c>
      <c r="J5" s="16">
        <v>52956.11</v>
      </c>
      <c r="K5" s="16">
        <v>53104.17</v>
      </c>
      <c r="L5" s="20">
        <f t="shared" si="1"/>
        <v>1</v>
      </c>
      <c r="M5" s="18" t="s">
        <v>36</v>
      </c>
      <c r="N5" s="16" t="s">
        <v>58</v>
      </c>
      <c r="O5" s="16" t="s">
        <v>59</v>
      </c>
      <c r="P5" s="5"/>
      <c r="Q5" s="5"/>
      <c r="R5" s="5"/>
      <c r="S5" s="5"/>
      <c r="T5" s="5"/>
      <c r="U5" s="5"/>
      <c r="V5" s="5"/>
    </row>
    <row r="6" ht="60.0" customHeight="1">
      <c r="A6" s="14" t="s">
        <v>26</v>
      </c>
      <c r="B6" s="14" t="s">
        <v>29</v>
      </c>
      <c r="C6" s="21" t="s">
        <v>60</v>
      </c>
      <c r="D6" s="16">
        <v>2.0</v>
      </c>
      <c r="E6" s="16">
        <v>2.0</v>
      </c>
      <c r="F6" s="16">
        <v>2.0</v>
      </c>
      <c r="G6" s="16">
        <v>2.0</v>
      </c>
      <c r="H6" s="16">
        <v>0.0</v>
      </c>
      <c r="I6" s="16">
        <v>2971.1</v>
      </c>
      <c r="J6" s="16">
        <v>2971.12</v>
      </c>
      <c r="K6" s="16">
        <v>2971.12</v>
      </c>
      <c r="L6" s="20">
        <f t="shared" si="1"/>
        <v>1</v>
      </c>
      <c r="M6" s="18" t="s">
        <v>36</v>
      </c>
      <c r="N6" s="16" t="s">
        <v>65</v>
      </c>
      <c r="O6" s="14"/>
      <c r="P6" s="5"/>
      <c r="Q6" s="5"/>
      <c r="R6" s="5"/>
      <c r="S6" s="5"/>
      <c r="T6" s="5"/>
      <c r="U6" s="5"/>
      <c r="V6" s="5"/>
    </row>
    <row r="7" ht="60.0" customHeight="1">
      <c r="A7" s="14" t="s">
        <v>41</v>
      </c>
      <c r="B7" s="16" t="s">
        <v>43</v>
      </c>
      <c r="C7" s="21" t="s">
        <v>60</v>
      </c>
      <c r="D7" s="16">
        <v>100.0</v>
      </c>
      <c r="E7" s="16">
        <v>60.0</v>
      </c>
      <c r="F7" s="16">
        <v>60.0</v>
      </c>
      <c r="G7" s="16">
        <v>60.0</v>
      </c>
      <c r="H7" s="16">
        <v>0.0</v>
      </c>
      <c r="I7" s="16">
        <v>38326.54</v>
      </c>
      <c r="J7" s="16">
        <v>57623.67</v>
      </c>
      <c r="K7" s="16">
        <v>57747.7</v>
      </c>
      <c r="L7" s="20">
        <f t="shared" si="1"/>
        <v>1</v>
      </c>
      <c r="M7" s="18" t="s">
        <v>36</v>
      </c>
      <c r="N7" s="16" t="s">
        <v>71</v>
      </c>
      <c r="O7" s="16" t="s">
        <v>72</v>
      </c>
      <c r="P7" s="5"/>
      <c r="Q7" s="5"/>
      <c r="R7" s="5"/>
      <c r="S7" s="5"/>
      <c r="T7" s="5"/>
      <c r="U7" s="5"/>
      <c r="V7" s="5"/>
    </row>
    <row r="8" ht="60.0" customHeight="1">
      <c r="A8" s="14" t="s">
        <v>26</v>
      </c>
      <c r="B8" s="14" t="s">
        <v>29</v>
      </c>
      <c r="C8" s="21" t="s">
        <v>75</v>
      </c>
      <c r="D8" s="16">
        <v>2.0</v>
      </c>
      <c r="E8" s="16">
        <v>2.0</v>
      </c>
      <c r="F8" s="16">
        <v>2.0</v>
      </c>
      <c r="G8" s="16">
        <v>2.0</v>
      </c>
      <c r="H8" s="16">
        <v>0.0</v>
      </c>
      <c r="I8" s="16">
        <v>6328.52</v>
      </c>
      <c r="J8" s="16">
        <v>6559.96</v>
      </c>
      <c r="K8" s="16">
        <v>6588.89</v>
      </c>
      <c r="L8" s="20">
        <f t="shared" si="1"/>
        <v>1</v>
      </c>
      <c r="M8" s="18" t="s">
        <v>36</v>
      </c>
      <c r="N8" s="16" t="s">
        <v>77</v>
      </c>
      <c r="O8" s="14"/>
      <c r="P8" s="5"/>
      <c r="Q8" s="5"/>
      <c r="R8" s="5"/>
      <c r="S8" s="5"/>
      <c r="T8" s="5"/>
      <c r="U8" s="5"/>
      <c r="V8" s="5"/>
    </row>
    <row r="9" ht="60.0" customHeight="1">
      <c r="A9" s="14" t="s">
        <v>41</v>
      </c>
      <c r="B9" s="16" t="s">
        <v>43</v>
      </c>
      <c r="C9" s="21" t="s">
        <v>75</v>
      </c>
      <c r="D9" s="16">
        <v>100.0</v>
      </c>
      <c r="E9" s="16">
        <v>40.0</v>
      </c>
      <c r="F9" s="16">
        <v>40.0</v>
      </c>
      <c r="G9" s="16">
        <v>40.0</v>
      </c>
      <c r="H9" s="16">
        <v>0.0</v>
      </c>
      <c r="I9" s="16">
        <v>30941.01</v>
      </c>
      <c r="J9" s="16">
        <v>32185.49</v>
      </c>
      <c r="K9" s="16">
        <v>32492.09</v>
      </c>
      <c r="L9" s="20">
        <f t="shared" si="1"/>
        <v>1</v>
      </c>
      <c r="M9" s="18" t="s">
        <v>36</v>
      </c>
      <c r="N9" s="16" t="s">
        <v>85</v>
      </c>
      <c r="O9" s="16" t="s">
        <v>86</v>
      </c>
      <c r="P9" s="5"/>
      <c r="Q9" s="5"/>
      <c r="R9" s="5"/>
      <c r="S9" s="5"/>
      <c r="T9" s="5"/>
      <c r="U9" s="5"/>
      <c r="V9" s="5"/>
    </row>
    <row r="10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8" t="str">
        <f t="shared" si="1"/>
        <v/>
      </c>
      <c r="M10" s="29"/>
      <c r="N10" s="21"/>
      <c r="O10" s="21"/>
      <c r="P10" s="5"/>
      <c r="Q10" s="5"/>
      <c r="R10" s="5"/>
      <c r="S10" s="5"/>
      <c r="T10" s="5"/>
      <c r="U10" s="5"/>
      <c r="V10" s="5"/>
    </row>
    <row r="11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8" t="str">
        <f t="shared" si="1"/>
        <v/>
      </c>
      <c r="M11" s="29"/>
      <c r="N11" s="21"/>
      <c r="O11" s="21"/>
      <c r="P11" s="5"/>
      <c r="Q11" s="5"/>
      <c r="R11" s="5"/>
      <c r="S11" s="5"/>
      <c r="T11" s="5"/>
      <c r="U11" s="5"/>
      <c r="V11" s="5"/>
    </row>
    <row r="12" ht="15.75" customHeight="1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8" t="str">
        <f t="shared" si="1"/>
        <v/>
      </c>
      <c r="M12" s="29"/>
      <c r="N12" s="21"/>
      <c r="O12" s="21"/>
      <c r="P12" s="5"/>
      <c r="Q12" s="5"/>
      <c r="R12" s="5"/>
      <c r="S12" s="5"/>
      <c r="T12" s="5"/>
      <c r="U12" s="5"/>
      <c r="V12" s="5"/>
    </row>
    <row r="13" ht="15.75" customHeight="1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8" t="str">
        <f t="shared" si="1"/>
        <v/>
      </c>
      <c r="M13" s="29"/>
      <c r="N13" s="21"/>
      <c r="O13" s="21"/>
      <c r="P13" s="5"/>
      <c r="Q13" s="5"/>
      <c r="R13" s="5"/>
      <c r="S13" s="5"/>
      <c r="T13" s="5"/>
      <c r="U13" s="5"/>
      <c r="V13" s="5"/>
    </row>
    <row r="14" ht="15.75" customHeight="1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8" t="str">
        <f t="shared" si="1"/>
        <v/>
      </c>
      <c r="M14" s="29"/>
      <c r="N14" s="21"/>
      <c r="O14" s="21"/>
      <c r="P14" s="5"/>
      <c r="Q14" s="5"/>
      <c r="R14" s="5"/>
      <c r="S14" s="5"/>
      <c r="T14" s="5"/>
      <c r="U14" s="5"/>
      <c r="V14" s="5"/>
    </row>
    <row r="15" ht="15.75" customHeight="1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8" t="str">
        <f t="shared" si="1"/>
        <v/>
      </c>
      <c r="M15" s="29"/>
      <c r="N15" s="21"/>
      <c r="O15" s="21"/>
      <c r="P15" s="5"/>
      <c r="Q15" s="5"/>
      <c r="R15" s="5"/>
      <c r="S15" s="5"/>
      <c r="T15" s="5"/>
      <c r="U15" s="5"/>
      <c r="V15" s="5"/>
    </row>
    <row r="16" ht="15.75" customHeight="1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8" t="str">
        <f t="shared" si="1"/>
        <v/>
      </c>
      <c r="M16" s="29"/>
      <c r="N16" s="21"/>
      <c r="O16" s="21"/>
      <c r="P16" s="5"/>
      <c r="Q16" s="5"/>
      <c r="R16" s="5"/>
      <c r="S16" s="5"/>
      <c r="T16" s="5"/>
      <c r="U16" s="5"/>
      <c r="V16" s="5"/>
    </row>
    <row r="17" ht="15.75" customHeight="1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8" t="str">
        <f t="shared" si="1"/>
        <v/>
      </c>
      <c r="M17" s="29"/>
      <c r="N17" s="21"/>
      <c r="O17" s="21"/>
      <c r="P17" s="5"/>
      <c r="Q17" s="5"/>
      <c r="R17" s="5"/>
      <c r="S17" s="5"/>
      <c r="T17" s="5"/>
      <c r="U17" s="5"/>
      <c r="V17" s="5"/>
    </row>
  </sheetData>
  <dataValidations>
    <dataValidation type="list" allowBlank="1" sqref="M10:M17">
      <formula1>"PASS,FAIL,N/A"</formula1>
    </dataValidation>
    <dataValidation type="list" allowBlank="1" showDropDown="1" showErrorMessage="1" sqref="C4:C9">
      <formula1>"Content,2D,3D"</formula1>
    </dataValidation>
    <dataValidation type="list" allowBlank="1" sqref="M4:M9">
      <formula1>"DONE,TODO"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